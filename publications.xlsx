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96C822A8-1252-4DE5-877B-1F57B688268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pers" sheetId="1" r:id="rId1"/>
    <sheet name="chapters" sheetId="6" r:id="rId2"/>
    <sheet name="submitted" sheetId="4" r:id="rId3"/>
    <sheet name="zzz" sheetId="5" r:id="rId4"/>
    <sheet name="SCI" sheetId="7" r:id="rId5"/>
  </sheets>
  <definedNames>
    <definedName name="_xlnm._FilterDatabase" localSheetId="4" hidden="1">SCI!$A$2:$J$71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" i="4" l="1"/>
  <c r="G15" i="4"/>
  <c r="G14" i="4"/>
  <c r="G11" i="4"/>
  <c r="G12" i="4"/>
  <c r="G13" i="4"/>
  <c r="G10" i="4"/>
  <c r="G9" i="4"/>
  <c r="G8" i="4"/>
  <c r="G7" i="4"/>
  <c r="G6" i="4"/>
  <c r="G5" i="4"/>
  <c r="G3" i="4"/>
  <c r="G4" i="4"/>
  <c r="G2" i="4"/>
  <c r="F1" i="7" l="1"/>
  <c r="J1" i="7" l="1"/>
  <c r="I1" i="7"/>
  <c r="H1" i="7"/>
  <c r="G1" i="7"/>
  <c r="K1" i="7" l="1"/>
  <c r="J1" i="4" l="1"/>
  <c r="I1" i="4" l="1"/>
  <c r="F5" i="5"/>
  <c r="F2" i="5" l="1"/>
  <c r="F3" i="5"/>
  <c r="F4" i="5"/>
</calcChain>
</file>

<file path=xl/sharedStrings.xml><?xml version="1.0" encoding="utf-8"?>
<sst xmlns="http://schemas.openxmlformats.org/spreadsheetml/2006/main" count="3849" uniqueCount="1602">
  <si>
    <t>title</t>
  </si>
  <si>
    <t>authors</t>
  </si>
  <si>
    <t>volume</t>
  </si>
  <si>
    <t>issue</t>
  </si>
  <si>
    <t>eID</t>
  </si>
  <si>
    <t>from</t>
  </si>
  <si>
    <t>to</t>
  </si>
  <si>
    <t>year</t>
  </si>
  <si>
    <t>date</t>
  </si>
  <si>
    <t>Calculating disability-adjusted life years to quantify burden of disease</t>
  </si>
  <si>
    <t>journal_full</t>
  </si>
  <si>
    <t>journal_short</t>
  </si>
  <si>
    <t>International Journal of Public Health</t>
  </si>
  <si>
    <t>Int. J. Public Health</t>
  </si>
  <si>
    <t>NA</t>
  </si>
  <si>
    <t>DALY calculation in practice: a stepwise approach</t>
  </si>
  <si>
    <t>Devleesschauwer, Brecht; Havelaar, Arie H; Maertens de Noordhout, Charline; Haagsma, Juanita A; Praet, Nicolas; Dorny, Pierre; Duchateau, Luc; Torgerson, Paul R; Van Oyen, Herman; Speybroeck, Niko.</t>
  </si>
  <si>
    <t>The health and economic burden of haemophilia in Belgium: a rare, expensive and challenging disease</t>
  </si>
  <si>
    <t>Epidemiology and genetic diversity of Taenia asiatica: a systematic review</t>
  </si>
  <si>
    <t>Understanding the burden of disease in Nepal: a call for local evidence</t>
  </si>
  <si>
    <t>The burden of parasitic zoonoses in Nepal: a systematic review</t>
  </si>
  <si>
    <t>Henrard, Séverine; Devleesschauwer, Brecht; Beutels, Philippe; Callens, Michael; De Smet, Frank; Hermans, Cedric; Speybroeck, Niko</t>
  </si>
  <si>
    <t>Ale, Anita; Victor, Bjorn; Praet, Nicolas; Gabriël, Sarah; Speybroeck, Niko; Dorny, Pierre; Devleesschauwer, Brecht</t>
  </si>
  <si>
    <t>Devleesschauwer, Brecht; Ale, Anita; Torgerson, Paul; Praet, Nicolas; Maertens de Noordhout, Charline; Pandey, Basu Dev; Pun, Sher Bahadur; Lake, Rob; Vercruysse, Jozef; Joshi, Durga Datt; Havelaar, Arie H; Duchateau, Luc; Dorny, Pierre; Speybroeck, Niko</t>
  </si>
  <si>
    <t>Devleesschauwer, Brecht; Ale, Anita; Duchateau, Luc; Dorny, Pierre; Lake, Rob; Dhakal, Purushottam; Pun, Sher Bahadur; Pandey, Basu Dev; Speybroeck, Niko</t>
  </si>
  <si>
    <t>Orphanet Journal of Rare Diseases</t>
  </si>
  <si>
    <t>Parasites &amp; Vectors</t>
  </si>
  <si>
    <t>Journal of Nepal Health Research Council</t>
  </si>
  <si>
    <t>Orphanet J. Rare Dis.</t>
  </si>
  <si>
    <t>Parasit. Vectors</t>
  </si>
  <si>
    <t>J. Nepal Health Res. Counc.</t>
  </si>
  <si>
    <t>e2634</t>
  </si>
  <si>
    <t>IF</t>
  </si>
  <si>
    <t>Simulation models for socioeconomic inequalities in health: a systematic review</t>
  </si>
  <si>
    <t>Seroprevalence of zoonotic parasites in pigs slaughtered in the Kathmandu Valley of Nepal</t>
  </si>
  <si>
    <t>An agent-based model of exposure to human toxocariasis: a multi-country validation</t>
  </si>
  <si>
    <t>Complexities in using sentinel pigs to study Taenia solium transmission dynamics under field conditions</t>
  </si>
  <si>
    <t>Misclassification errors in prevalence estimation: Bayesian handling with care</t>
  </si>
  <si>
    <t>Intraventricular Taenia solium neurocysticercosis: a report of three cases</t>
  </si>
  <si>
    <t>Epidemiology of Taenia solium in Nepal: is it influenced by the social characteristics of the population and the presence of Taenia asiatica?</t>
  </si>
  <si>
    <t>The economic effects of whole-herd versus selective anthelmintic treatment strategies in dairy cows</t>
  </si>
  <si>
    <t>Estimating the prevalence of infections in vector populations using pools of samples</t>
  </si>
  <si>
    <t>Speybroeck, Niko; Van Malderen, Carine; Harper, Sam; Müller, Birgit; Devleesschauwer, Brecht</t>
  </si>
  <si>
    <t>Devleesschauwer, Brecht; Pruvot, Mathieu; Joshi, Durga Datt; De Craeye, Stéphane; Jennes, Malgorzata; Ale, Anita; Welinski, Alma; Lama, Sanjyoti; Aryal, Arjun; Victor, Bjorn; Duchateau, Luc; Speybroeck, Niko; Vercruysse, Jozef; Dorny, Pierre</t>
  </si>
  <si>
    <t>Kanobana, Kirezi; Devleesschauwer, Brecht; Polman, Katja; Speybroeck, Niko</t>
  </si>
  <si>
    <t>Devleesschauwer, Brecht; Aryal, Aarjun; Tharmalingam, Jayaraman; Joshi, Durga Datt; Rijal, Suman; Speybroeck, Niko; Gabriël, Sarah; Victor, Bjorn; Dorny, Pierre</t>
  </si>
  <si>
    <t>Speybroeck, Niko; Devleesschauwer, Brecht; Joseph, Lawrence; Berkvens, Dirk</t>
  </si>
  <si>
    <t>Pant, Basant; Devleesschauwer, Brecht; Shrestha, P; Shrestha, Isha; Praet, Nicolas; Dorny, Pierre</t>
  </si>
  <si>
    <t>Devleesschauwer, Brecht; Aryal, Arjun; Joshi, Durga Datt; Rijal, Suman; Sherchand, Jeevan Bahadur; Praet, Nicolas; Speybroeck, Niko; Duchateau, Luc; Vercruysse, Jozef; Dorny, Pierre</t>
  </si>
  <si>
    <t>Charlier, Johannes; Levecke, Bruno; Devleesschauwer, Brecht; Vercruysse, Jozef; Hogeveen, Henk</t>
  </si>
  <si>
    <t>Speybroeck, Niko; Williams, Chris J; Lafia, K B; Devleesschauwer, Brecht; Berkvens, Dirk</t>
  </si>
  <si>
    <t>Medical and Veterinary Entomology</t>
  </si>
  <si>
    <t>Med. Vet. Entomol.</t>
  </si>
  <si>
    <t>Journal of Dairy Science</t>
  </si>
  <si>
    <t>J. Dairy Sci.</t>
  </si>
  <si>
    <t>Tropical Medicine &amp; International Health</t>
  </si>
  <si>
    <t>Trop. Med. Int. Health</t>
  </si>
  <si>
    <t>Journal of Nepal Medical Association</t>
  </si>
  <si>
    <t>JNMA J. Nepal Med. Assoc.</t>
  </si>
  <si>
    <t>Veterinary Parasitology</t>
  </si>
  <si>
    <t>Vet. Parasitol.</t>
  </si>
  <si>
    <t>Parasitology</t>
  </si>
  <si>
    <t>1-3</t>
  </si>
  <si>
    <t>8</t>
  </si>
  <si>
    <t>Vector Borne Zoonotic Dis.</t>
  </si>
  <si>
    <t>12</t>
  </si>
  <si>
    <t>Vector Borne and Zoonotic Diseases</t>
  </si>
  <si>
    <t>Int. J. Environ. Res. Public Health</t>
  </si>
  <si>
    <t>International Journal of Environmental Research and Public Health</t>
  </si>
  <si>
    <t>11</t>
  </si>
  <si>
    <t>Incidence and transmission dynamics of human cysticercosis in a Taenia solium Ecuadorian endemic area: implications for disease burden assessment and control</t>
  </si>
  <si>
    <t>Coral-Almeida, Marco; Rodríguez-Hidalgo, Richar; Celi-Erazo, M; García, Hugo H; Rodríguez, S; Benítez-Ortiz, Washington; Devleesschauwer, Brecht; Dorny, Pierre; Praet, Nicolas</t>
  </si>
  <si>
    <t>The global burden of listeriosis: a systematic review and meta-analysis</t>
  </si>
  <si>
    <t>Data-driven methods for imputing national-level incidence rates in global burden of disease studies</t>
  </si>
  <si>
    <t>The low global burden of trichinellosis: evidence and implications</t>
  </si>
  <si>
    <t>Selective use of digital dermoscopy allows a cost reduction in the melanoma detection process: a Belgian study of patients with a single or a small number of atypical nevi</t>
  </si>
  <si>
    <t>McDonald, Scott A; Devleesschauwer, Brecht; Speybroeck, Niko; Hens, Niel; Praet, Nicolas; Torgerson, Paul R; Havelaar, Arie H; Wu, Felicia; Tremblay, Marlène; Amene, Ermias W; Döpfer, Dörte</t>
  </si>
  <si>
    <t>Devleesschauwer, Brecht; Maertens de Noordhout, Charline; Smit, G Suzanne A; Duchateau, Luc; Dorny, Pierre; Stein, Claudia; Van Oyen, Herman; Speybroeck, Niko</t>
  </si>
  <si>
    <t>Devleesschauwer, Brecht; Praet, Nicolas; Speybroeck, Niko; Torgerson, Paul R; Haagsma, Juanita A; De Smet, Kris; Murrell, Darwin; Pozio, Edoardo; Dorny, Pierre</t>
  </si>
  <si>
    <t>Tromme, Isabelle; Devleesschauwer, Brecht; Beutels, Philippe; Richez, P; Leroy, A; Baurain, J F; Cornélis, F; Bertrand, C; Legrand, N; Degueldre, J; Thomas, L; Legrand, Catherine; Haagsma, Juanita A; Speybroeck, Niko.</t>
  </si>
  <si>
    <t>Tromme, Isabelle; Devleesschauwer, Brecht; Beutels, Philippe; Richez, P; Praet, Nicolas; Sacré, L; Marot, L; Van Eeckhout, P; Theate, I; Baurain, J F; Thomas, Luc; Speybroeck, Niko</t>
  </si>
  <si>
    <t>The Lancet Infectious Diseases</t>
  </si>
  <si>
    <t>Lancet Infect. Dis.</t>
  </si>
  <si>
    <t>Bulletin of the World Health Organization</t>
  </si>
  <si>
    <t>Bull. World Health Org.</t>
  </si>
  <si>
    <t>International Journal for Parasitology</t>
  </si>
  <si>
    <t>Int. J. Parasitol.</t>
  </si>
  <si>
    <t>British Journal of Dermatology</t>
  </si>
  <si>
    <t>Br. J. Dermatol.</t>
  </si>
  <si>
    <t>BMC Public Health</t>
  </si>
  <si>
    <t>Quantifying burden of disease to support public health policy in Belgium: opportunities and constraints</t>
  </si>
  <si>
    <t>3</t>
  </si>
  <si>
    <t>5</t>
  </si>
  <si>
    <t>e2887</t>
  </si>
  <si>
    <t>Maertens de Noordhout, Charline; Devleesschauwer, Brecht; Angulo, Frederick J; Verbeke, Geert; Haagsma, Juanita; Kirk, Martyn; Havelaar, Arie; Speybroeck, Niko</t>
  </si>
  <si>
    <t>Mathematical inference on helminth egg counts in stool and its applications in mass drug administration programmes to control soil-transmitted helminthiasis in public health</t>
  </si>
  <si>
    <t>Levecke, Bruno; Anderson, Roy M; Berkvens, D; Charlier, Johannes; Devleesschauwer, Brecht; Speybroeck, Niko; Vercruysse, Jozef; Van Aelst, Stefan</t>
  </si>
  <si>
    <t>Prevalence and associated risk factors of Toxocara vitulorum infections in buffalo and cattle calves in central Cambodia</t>
  </si>
  <si>
    <t>Dorny, Pierre; Devleesschauwer, Brecht; Stoliaroff, Valérie; Meas, Sothy; Chea, Rortana; Chea, Bunthon; Sourloing, Hor; Samuth, Sum; Kong, Seth; Nguong, Koemseang; Sorn, San; Holl, Davunn; Vercruysse, Jozef</t>
  </si>
  <si>
    <t>10</t>
  </si>
  <si>
    <t>e109339</t>
  </si>
  <si>
    <t>1</t>
  </si>
  <si>
    <t>Korean J. Parasitol.</t>
  </si>
  <si>
    <t>Needs and expectations regarding risk ranking in the food chain: a pilot survey amongst decision makers and stakeholders</t>
  </si>
  <si>
    <t>Speybroeck, Niko; Devleesschauwer, Brecht; Depoorter, Pieter; Dewulf, Jeroen; Berkvens, Dirk; Van Huffel, Xavier; Saegerman, Claude</t>
  </si>
  <si>
    <t>Food Control</t>
  </si>
  <si>
    <t>Korean Journal of Parasitology</t>
  </si>
  <si>
    <t>Haagsma, Juanita A; Maertens de Noordhout, Charline; Polinder, Suzanne; Vos, Theo; Havelaar, Arie H; Cassini, Alessandro; Devleesschauwer, Brecht; Kretzschmar, Mirjam; Speybroeck, Niko; Salomon, Joshua A</t>
  </si>
  <si>
    <t>Population Health Metrics</t>
  </si>
  <si>
    <t>Popul. Health Metr.</t>
  </si>
  <si>
    <t>Human migration and pig/pork import in the European Union: what are the implications for Taenia solium infections?</t>
  </si>
  <si>
    <t>6</t>
  </si>
  <si>
    <t>2-3</t>
  </si>
  <si>
    <t>Isolation and seroprevalence of Aeromonas spp. among common food animals slaughtered in Nagpur, Central India</t>
  </si>
  <si>
    <t>Gowda, Tanuja KGM; Reddy, Vishwanatha RAP; Devleesschauwer, Brecht; Zade, NN; Chaudhari, SP; Khan, WA; Shinde, SV; Patil, AR</t>
  </si>
  <si>
    <t>Foodborne Pathogens and Disease</t>
  </si>
  <si>
    <t>Foodborne Pathog. Dis.</t>
  </si>
  <si>
    <t>Braae, Uffe Christian; Saarnak, Christopher FL; Mukaratirwa, Samson; Devleesschauwer, Brecht; Magnussen, Pascal; Johansen, Maria Vang</t>
  </si>
  <si>
    <t>Disability weights for the Global Burden of Disease 2013 study</t>
  </si>
  <si>
    <t>Salomon, Joshua A; Haagsma, Juanita A; Davis, Adrian; Maertens de Noordhout, Charline; Polinder, Suzanne; Havelaar, Arie H; Cassini, Alessandro; Devleesschauwer, Brecht; Kretzschmar, Mirjam; Speybroeck, Niko; Murray, Christopher J; Vos, Theo</t>
  </si>
  <si>
    <t>The Lancet Global Health</t>
  </si>
  <si>
    <t>Lancet Glob. Health</t>
  </si>
  <si>
    <t>Aetiology-specific estimates of the global and regional incidence and mortality of diarrhoeal diseases commonly transmitted through food</t>
  </si>
  <si>
    <t>Pires, Sara M; Fischer-Walker, C L; Lanata, C F; Devleesschauwer, Brecht; Hall, A J; Kirk, M D; Duarte, A S R; Black, R E; Angulo, F J</t>
  </si>
  <si>
    <t>National studies as a component of the World Health Organization initiative to estimate the global and regional burden of foodborne disease</t>
  </si>
  <si>
    <t>2</t>
  </si>
  <si>
    <t>Assessing disability weights based on the responses of 30,660 people from four European countries</t>
  </si>
  <si>
    <t>Research synthesis methods in an age of globalized risks: Lessons from the global burden of foodborne disease expert elicitation</t>
  </si>
  <si>
    <t>Risk Analysis</t>
  </si>
  <si>
    <t>Risk Anal.</t>
  </si>
  <si>
    <t>World Health Organization estimates of the relative contributions of food to the burden of disease due to selected foodborne hazards: a structured expert elicitation</t>
  </si>
  <si>
    <t>The societal cost of Taenia solium cysticercosis in Tanzania</t>
  </si>
  <si>
    <t>Trevisan, Chiara; Devleesschauwer, Brecht; Schmidt, Veronika; Winkler, Andrea S; Harrison, Wendy; Johansen, Maria V</t>
  </si>
  <si>
    <t>Acta Tropica</t>
  </si>
  <si>
    <t>Acta Trop.</t>
  </si>
  <si>
    <t>Taenia solium in Europe: still endemic?</t>
  </si>
  <si>
    <t>Devleesschauwer, Brecht; Allepuz, Alberto; Dermauw, Veronique; Johansen, Maria V; Laranjo-González, Minerva; Smit, G Suzanne A; Sotiraki, Smaragda; Trevisan, Chiara; Wardrop, Nicola A; Dorny, Pierre; Gabriël, Sarah</t>
  </si>
  <si>
    <t>Neurocysticercosis in Europe: need for a one health approach [Letter to the Editor]</t>
  </si>
  <si>
    <t>Devleesschauwer, Brecht; Smit, G Suzanne A; Dorny, Pierre; van der Giessen, Joke W; Gabriël, Smit</t>
  </si>
  <si>
    <t>Neuropediatrics</t>
  </si>
  <si>
    <t>Melanoma burden by melanoma stage: assessment through a disease transition model</t>
  </si>
  <si>
    <t>Tromme, Isabelle; Legrand, Catherine; Devleesschauwer, Brecht; Leiter, Ulrike; Suciu, Stefan; Eggermont, Alexander; Francart, Julie; Calay, Frederic; Haagsma, Juanita A; Baurain, Jean-François; Thomas, Luc; Beutels, Philippe; Speybroeck, Niko</t>
  </si>
  <si>
    <t>Gabriël, Sarah; Johansen, Maria Vang; Pozio, Edoardo; Smit, Suzanne; Devleesschauwer, Brecht; Allepuz, Alberto; Dorny, Pierre</t>
  </si>
  <si>
    <t>Methodological framework for World Health Organization estimates of the global burden of foodborne disease</t>
  </si>
  <si>
    <t>PLOS ONE</t>
  </si>
  <si>
    <t>Devleesschauwer, Brecht; Haagsma, Juanita A; Angulo, Frederick J; Bellinger, David C; Cole, Dana; Döpfer, Dörte; Fazil, Aamir; Fèvre, Eric M; Gibb, Herman; Hald, Tine; Kirk, Martyn D; Lake, Robin J; Maertens de Noordhout, Charline; Mathers, Colin D; McDonald, Scott A; Pires, Sara M; Speybroeck, Niko; Thomas, M Kate; Torgerson, Paul R; Wu, Felicia; Havelaar, Arie H; Praet, Nicolas</t>
  </si>
  <si>
    <t>World Health Organization global estimates and regional comparisons of the burden of foodborne disease, 2010</t>
  </si>
  <si>
    <t>Havelaar, Arie H; Kirk, Martyn D; Torgerson, Paul R; Gibb, Herman; Hald, Tine; Lake, Robin J; Praet, Nicolas; Angulo, Frederick J; Bellinger, David C; De Silva, Nilanthi R; Gargouri, N; Speybroeck, Niko; Cawthorne, Amy; Mathers, Colin; Stein, Claudia; Devleesschauwer, Brecht</t>
  </si>
  <si>
    <t>European Journal of Cancer</t>
  </si>
  <si>
    <t>Eur. J. Cancer</t>
  </si>
  <si>
    <t>Sharma, Barun Kumar; Manandhar, Salina; Devleesschauwer, Brecht</t>
  </si>
  <si>
    <t>Serological evidence of type 2 (North American genotype) porcine reproductive and respiratory syndrome virus in Nepal</t>
  </si>
  <si>
    <t>Gibb, Herman Jones; Devleesschauwer, Brecht; Bolger, Philip Michael; Wu, Felicia; Ezendam, Janine; Cliff, Julie; Zeilmaker, Marco; Verger, Philippe; Pitt, John; Baines, Janis; Adegoke, Gabriel; Afshari, Reza; Liu, Yan; Bokkers, Bas; van Loveren, Henk; Mengelers, Marcel; Havelaar, Arie; Bellinger, David</t>
  </si>
  <si>
    <t>7</t>
  </si>
  <si>
    <t>World Health Organization estimates of the global and regional disease burden of 22 foodborne bacterial, protozoal and viral diseases, 2010: a data synthesis</t>
  </si>
  <si>
    <t>Tropical Animal Health and Production</t>
  </si>
  <si>
    <t>Trop. Anim. Health Prod.</t>
  </si>
  <si>
    <t>Molecular characterisation of Echinococcus granulosus s.l. cysts from cattle, camels, goats and pigs in Ethiopia</t>
  </si>
  <si>
    <t>Epidemiology, impact and control of rabies in Nepal: a systematic review</t>
  </si>
  <si>
    <t>Devleesschauwer, Brecht; Aryal, Arjun; Sharma, Barun Kumar; Ale, Anita; Declercq, Anne; Depraz, Stephanie; Gaire, Tara Nath; Gongal, Gyanendra; Karki, Surendra; Pandey, Basu Dev; Pun, Sher Bahadur; Duchateau, Luc; Dorny, Pierre; Speybroeck, Niko</t>
  </si>
  <si>
    <t>PLOS Neglected Tropical Diseases</t>
  </si>
  <si>
    <t>PLOS Negl. Trop. Dis.</t>
  </si>
  <si>
    <t>COUNT</t>
  </si>
  <si>
    <t>World Health Organization estimates of the global and regional disease burden of 11 foodborne parasitic diseases, 2010: a data synthesis</t>
  </si>
  <si>
    <t>The impact of individual-level heterogeneity on estimated infectious disease burden: a simulation study</t>
  </si>
  <si>
    <t>McDonald, Scott A; Devleesschauwer, Brecht; Wallinga, Jacco</t>
  </si>
  <si>
    <t>Epidemiology, impact and control of bovine cysticercosis in Europe: a systematic review</t>
  </si>
  <si>
    <t>Laranjo-González, Minerva; Devleesschauwer, Brecht; Gabriël, Sarah; Dorny, Pierre; Allepuz, Alberto</t>
  </si>
  <si>
    <t>Simulation models in public health: mathematical models</t>
  </si>
  <si>
    <t>Simulation models in public health: agent-based models</t>
  </si>
  <si>
    <t>Speybroeck, Niko; Chiêm, Jean-Christophe; Van Malderen, Carine; Manuel, Douglas G; Tanuseputro, Peter; Rosas-Aguirre, Angel; Lorant, Vincent; Maertens de Noordhout, Charline; D'Hoore, William; Smit, Suzanne; Macq, Jean; Devleesschauwer, Brecht</t>
  </si>
  <si>
    <t>F1000 Research</t>
  </si>
  <si>
    <t>Speybroeck, Niko; Chiêm, Jean-Christophe; Van Malderen, Carine; Tanuseputro, Peter; Rosas-Aguirre, Angel; Lorant, Vincent; Hens, Niel; Maertens de Noordhout, Charline; D'Hoore, William; Smit, Suzanne; Macq, Jean; Devleesschauwer, Brecht</t>
  </si>
  <si>
    <t>Comorbidities and factors associated with central nervous system infections and death in non-perinatal listeriosis: a clinical case series</t>
  </si>
  <si>
    <t>Maertens de Noordhout, Charline; Devleesschauwer, Brecht; Maertens de Noordhout, Alain; Blocher, Joachim; Haagsma, Juanita A; Havelaar, Arie H; Speybroeck, Niko</t>
  </si>
  <si>
    <t>DOI</t>
  </si>
  <si>
    <t>10.1371/journal.pmed.1001923</t>
  </si>
  <si>
    <t>e1001923</t>
  </si>
  <si>
    <t>Robertson, Lucy J; Devleesschauwer, Brecht; de Noya, Belkisyolé Alarcón; Noya González, Oscar; Torgerson, Paul Robert</t>
  </si>
  <si>
    <t>10.1371/journal.pone.0142498</t>
  </si>
  <si>
    <t>e0142498</t>
  </si>
  <si>
    <t>10.1371/journal.pmed.1001921</t>
  </si>
  <si>
    <t>e1001921</t>
  </si>
  <si>
    <t>10.1371/journal.pmed.1001920</t>
  </si>
  <si>
    <t>e1001920</t>
  </si>
  <si>
    <t>10.1371/journal.pone.0140319</t>
  </si>
  <si>
    <t>e0140319</t>
  </si>
  <si>
    <t>10.1371/journal.pone.0142927</t>
  </si>
  <si>
    <t>e0142927</t>
  </si>
  <si>
    <t>World Health Organization estimates of the global and regional disease burden of four foodborne chemical toxins, 2010: a data synthesis</t>
  </si>
  <si>
    <t>10.12688/f1000research.7340.1</t>
  </si>
  <si>
    <t>Zooprophylaxis as a malaria control strategy for Anopheles arabiensis: a systematic review</t>
  </si>
  <si>
    <t>10.1017/S0031182013000310</t>
  </si>
  <si>
    <t>10.1007/s00038-012-0439-9</t>
  </si>
  <si>
    <t>10.1089/vbz.2013.1313</t>
  </si>
  <si>
    <t>10.1371/journal.pntd.0002634</t>
  </si>
  <si>
    <t>10.1186/1750-1172-9-39</t>
  </si>
  <si>
    <t>10.1007/s00038-014-0552-z</t>
  </si>
  <si>
    <t>10.1007/s00038-014-0553-y</t>
  </si>
  <si>
    <t>10.1016/S1473-3099(14)70870-9</t>
  </si>
  <si>
    <t>10.1371/journal.pone.0109339</t>
  </si>
  <si>
    <t>10.1186/1471-2458-14-1196</t>
  </si>
  <si>
    <t>10.1111/bjd.13262</t>
  </si>
  <si>
    <t>10.1016/j.ijpara.2014.05.006</t>
  </si>
  <si>
    <t>10.1016/bs.apar.2015.01.001</t>
  </si>
  <si>
    <t>10.2471/BLT.14.139972</t>
  </si>
  <si>
    <t>10.1186/s12963-015-0042-4</t>
  </si>
  <si>
    <t>10.1186/s13071-015-0938-7</t>
  </si>
  <si>
    <t>10.1016/j.foodcont.2014.12.041</t>
  </si>
  <si>
    <t>10.1016/j.actatropica.2015.08.006</t>
  </si>
  <si>
    <t>10.1055/s-0035-1558437</t>
  </si>
  <si>
    <t>10.1016/S2214-109X(15)00069-8</t>
  </si>
  <si>
    <t>10.3168/jds.2011-4719</t>
  </si>
  <si>
    <t>10.1111/j.1365-3156.2012.03017.x</t>
  </si>
  <si>
    <t>10.1111/j.1365-2915.2012.01015.x</t>
  </si>
  <si>
    <t>10.1016/j.vetpar.2012.12.010</t>
  </si>
  <si>
    <t>10.1186/1756-3305-7-45</t>
  </si>
  <si>
    <t>10.1371/journal.pntd.0002887</t>
  </si>
  <si>
    <t>10.1016/j.vetpar.2015.03.006</t>
  </si>
  <si>
    <t>10.1089/fpd.2014.1922</t>
  </si>
  <si>
    <t>10.3347/kjp.2015.53.2.197</t>
  </si>
  <si>
    <t>10.3390/ijerph10115750</t>
  </si>
  <si>
    <t>10.1016/j.vetpar.2015.10.022</t>
  </si>
  <si>
    <t>10.1007/s11250-015-0986-1</t>
  </si>
  <si>
    <t>10.1016/j.ejca.2015.09.016</t>
  </si>
  <si>
    <t>1-2</t>
  </si>
  <si>
    <t>Hald, Tine; Aspinall, Tine; Devleesschauwer, Brecht; Cooke, Roger; Corrigan, Tim; Havelaar, Arie H; Gibb, Herman J; Torgerson, Paul R; Kirk, Martyn D; Angulo, Fred J; Lake, Robin J; Speybroeck, Niko; Hoffmann, Sandy</t>
  </si>
  <si>
    <t>Smit, G Suzanne A; Apers, Ludwig; Arrazole de Onate, Wouter; Beutels, Philippe; Dorny, Pierre; Forier, An-Marie; Janssens, Kristien; Macq, Jean; Mak, Ruud; Schol, Sandrina; Wildemeersch, Dirk; Speybroeck, Niko; Devleesschauwer, Brecht</t>
  </si>
  <si>
    <t>10.1016/j.actatropica.2015.12.021</t>
  </si>
  <si>
    <t>e0145839</t>
  </si>
  <si>
    <t>10.1371/journal.pone.0145839</t>
  </si>
  <si>
    <t>10.1186/s13071-016-1362-3</t>
  </si>
  <si>
    <t>10.1111/risa.12385</t>
  </si>
  <si>
    <t>e0004461</t>
  </si>
  <si>
    <t>10.1371/journal.pntd.0004461</t>
  </si>
  <si>
    <t>PLoS Medicine</t>
  </si>
  <si>
    <t>PLoS Med.</t>
  </si>
  <si>
    <t>Hoffmann, Sandra; Aspinall, Willy; Cooke, Roger; Cawthorne, Amy; Corrigan, Tim; Havelaar, Arie; Gibb, Herman; Torgerson, Paul; Kirk, Martyn; Angulo, Fred; Lake, Rob; Speybroeck, Niko; Devleesschauwer, Brecht; Hald, Tine</t>
  </si>
  <si>
    <t>Lake, Rob; Devleesschauwer, Brecht; Nasinyama, George; Havelaar, Arie; Kuchenmüller, Tanja; Haagsma, Juanita; Jensen, Helen; Jessani, Nasreen; Maertens de Noordhout, Charline; Angulo, Fred; Ehiri, John; Molla, Lindita; Agaba, Friday; Aungkulanon, Suchunya; Kumagai, Yuko; Speybroeck, Niko</t>
  </si>
  <si>
    <t>Kirk, M D; Pires, S M; Black, R E; Caipo, M; Crump, J A; Devleesschauwer, Brecht; Döpfer, D; Fazil, A; Fischer-Walker, C L; Hald, T; Hall, A J; Keddy, K H; Lake, R; Lanata, C F; Torgerson, P R; Havelaar, A H; Angulo, F J</t>
  </si>
  <si>
    <t>Torgerson, Paul Robert; Devleesschauwer, Brecht; Praet, Nicolas; Speybroeck, Niko; Willingham, Arve Lee; Kasuga, Fumiko; Rokni, Mohammed B; Zhou, Xiao-Nong; Fevre, Eric; Sripa, Banchob; Gargouri, Neyla; Fürst, Thomas; Budke, Christine M; Carabin, Helene; Kirk, Martyn D; Angulo, Frederick J; Havelaar, Arie H; de Silva, Nilanthi</t>
  </si>
  <si>
    <t>Tigre, Worku; Deresa, Benti; Haile, Adane; Gabriël, Sarah; Victor, Bjorn; Van Pelt, Jani; Devleesschauwer, Brecht; Vercruysse, Jozef; Dorny, Pierre</t>
  </si>
  <si>
    <t>Mapping EQ-5D utilities to GBD 2010 and GBD 2013 disability weights: results of two pilot studies in Belgium</t>
  </si>
  <si>
    <t>Maertens de Noordhout, Charline; Devleesschauwer, Brecht; Gielens, Leslie; Plasmans, Marjanne H D; Haagsma, Juanita A; Speybroeck, Niko</t>
  </si>
  <si>
    <t>Devleesschauwer, Brecht; Dorny, Pierre; Faes, Christel; Havelaar, Arie H; Torgerson, Paul R; Speybroeck, Niko</t>
  </si>
  <si>
    <t>Devleesschauwer, Brecht; Bouwknegt, Martijn; Mangen, Marie-Josée J; Havelaar, Arie H</t>
  </si>
  <si>
    <t>Goudet, Sophie; Jayaraman, A; Chanani, S; Osrin, D; Devleesschauwer, Brecht; Bogin, B; Madise, N; Griffiths, P</t>
  </si>
  <si>
    <t>Trypanosoma cruzi---time for international recognition as a foodborne pathogen</t>
  </si>
  <si>
    <t>Braae, Uffe Christian; Devleesschauwer, Brecht; Gabriël, Sarah; Dorny, Pierre; Speybroeck, Niko; Magnussen, Pascal; Torgerson, Paul; Johansen, Maria Vang</t>
  </si>
  <si>
    <t>10.1371/journal.pntd.0004656</t>
  </si>
  <si>
    <t>e0004656</t>
  </si>
  <si>
    <t>10.1186/s12879-016-1602-3</t>
  </si>
  <si>
    <t>BMC Infectious Diseases</t>
  </si>
  <si>
    <t>Zeilmaker, Marco J; Devleesschauwer, Brecht; Mengelers, Marcel J B; Brandon, E; Bokkers, Bas G H</t>
  </si>
  <si>
    <t>Cost-effectiveness analysis in melanoma detection: a transition model applied to dermoscopy</t>
  </si>
  <si>
    <t>Tromme, Isabelle; Legrand, Catherine; Devleesschauwer, Brecht; Leiter, Ulrike; Suciu, Stefan; Eggermont, Alexander; Sacré, Laurine; Baurain, Jean-François; Thomas, Luc; Beutels, Philippe; Speybroeck, Niko</t>
  </si>
  <si>
    <t>Health impact assessment of dioxins: a global perspective</t>
  </si>
  <si>
    <t>cystiSim---an agent-based model for Taenia solium transmission and control</t>
  </si>
  <si>
    <t>10.1016/j.ejca.2016.07.020</t>
  </si>
  <si>
    <t>Journal of Epidemiology and Community Health</t>
  </si>
  <si>
    <t>Seroprevalence of anti-Toxoplasma gondii antibodies in filter paper elutes from sera of Egyptian sheep and goats</t>
  </si>
  <si>
    <t>Al-Kappany, Y M; Abbas, I E A; Devleesschauwer, Brecht; Dorny, Pierre; Jennes, Malgorzata; Cox, Eric</t>
  </si>
  <si>
    <t>J. Epidemiol. Community Health</t>
  </si>
  <si>
    <t>Trends in educational inequalities in premature mortality in Belgium between the 1990s and the 2000s: the contribution of specific causes of deaths</t>
  </si>
  <si>
    <t>Renard, Françoise; Gadeyne, Sylvie; Devleesschauwer, Brecht; Tafforeau, Jean; De Boosere, Patrick</t>
  </si>
  <si>
    <t>Disability weights for chronic mercury intoxication resulting from gold mining activities: results from an online pairwise comparisons survey</t>
  </si>
  <si>
    <t>Steckling, Nadine; Devleesschauwer, Brecht; Winkelnkemper, Julia; Fischer, Florian; Ericson, Bret; Krämer, Alexander; Hornberg, Claudia; Fuller, Richard; Plass, Dietrich; Bose-O'Reilly, Stephan</t>
  </si>
  <si>
    <t>Archives of Public Health</t>
  </si>
  <si>
    <t>Arch. Public Health</t>
  </si>
  <si>
    <t>zDALY: an adjusted indicator for the burden of zoonotic diseases</t>
  </si>
  <si>
    <t>Torgerson, Paul Robert; Rüegg, Simon; Devleesschauwer, Brecht; Abela-Ridder, Bernadette; Havelaar, Arie H; Shaw, Alexandra; Rushton, Jonathan; Speybroeck, Niko</t>
  </si>
  <si>
    <t>10.1016/B978-0-12-803623-5.00002-2</t>
  </si>
  <si>
    <t>classification</t>
  </si>
  <si>
    <t>A1</t>
  </si>
  <si>
    <t>A2</t>
  </si>
  <si>
    <t>book</t>
  </si>
  <si>
    <t>Health and Economic Burden of Campylobacter</t>
  </si>
  <si>
    <t>Burden and Risk Assessment of Foodborne Parasites</t>
  </si>
  <si>
    <t>Advances in Parasitology, Volume 87, Mathematical Models for Neglected Tropical Diseases: Essential Tools for Control and Elimination, Part A</t>
  </si>
  <si>
    <t>editors</t>
  </si>
  <si>
    <t>Klein, G</t>
  </si>
  <si>
    <t>Ortega, Ynes; Sterling, C</t>
  </si>
  <si>
    <t>Anderson, Roy M; Basáñez, Maria Gloria</t>
  </si>
  <si>
    <t>Campylobacter: Features, Detection, and Prevention of Foodborne Disease</t>
  </si>
  <si>
    <t>Foodborne Parasites, 2nd ed.</t>
  </si>
  <si>
    <t>Disability weights for infectious diseases in four European countries: comparison between countries and across respondent characteristics</t>
  </si>
  <si>
    <t>Maertens de Noordhout, Charline; Devleesschauwer, Brecht; Salomon, Joshua A; Turner, Heather; Cassini, Alessandro; Colzani, Edoardo; Speybroeck, Niko; Polinder, Suzanne; Kretzschmar, Mirjam E; Havelaar, Arie H; Haagsma, Juanita A</t>
  </si>
  <si>
    <t>European Journal of Public Health</t>
  </si>
  <si>
    <t>10.1016/j.vetpar.2016.10.021</t>
  </si>
  <si>
    <t>One Health research and training and government support for One Health in South Asia</t>
  </si>
  <si>
    <t>McKenzie, Joanna S; Dahal, Rojan; Kakkar, Manish; Debnath, Nitish; Rahman, Mahmudur; Dorjee, Sithar; Naeem, Khalid; Wijayathilaka, Tikiri; Sharma, Barun; Maidanwal, Nasir; Halimi, Asmatullah; Kim, Eunmi; Chatterjee, Pranab; Devleesschauwer, Brecht</t>
  </si>
  <si>
    <t>Infection Ecology &amp; Epidemiology</t>
  </si>
  <si>
    <t>Infect. Ecol. Epidemiol.</t>
  </si>
  <si>
    <t>WoS</t>
  </si>
  <si>
    <t>rank</t>
  </si>
  <si>
    <t>quartile</t>
  </si>
  <si>
    <t>155/158</t>
  </si>
  <si>
    <t>Q4</t>
  </si>
  <si>
    <t>3/54</t>
  </si>
  <si>
    <t>Q1</t>
  </si>
  <si>
    <t>31/161</t>
  </si>
  <si>
    <t>11/87</t>
  </si>
  <si>
    <t>5/132</t>
  </si>
  <si>
    <t>13/37</t>
  </si>
  <si>
    <t>Q2</t>
  </si>
  <si>
    <t>59/162</t>
  </si>
  <si>
    <t>90/216</t>
  </si>
  <si>
    <t>43/162</t>
  </si>
  <si>
    <t>5/36</t>
  </si>
  <si>
    <t>7/36</t>
  </si>
  <si>
    <t>56/167</t>
  </si>
  <si>
    <t>39/165</t>
  </si>
  <si>
    <t>1/78</t>
  </si>
  <si>
    <t>9/57</t>
  </si>
  <si>
    <t>53/165</t>
  </si>
  <si>
    <t>6/63</t>
  </si>
  <si>
    <t>14/124</t>
  </si>
  <si>
    <t>11/172</t>
  </si>
  <si>
    <t>16/153</t>
  </si>
  <si>
    <t>31/124</t>
  </si>
  <si>
    <t>27/36</t>
  </si>
  <si>
    <t>Q3</t>
  </si>
  <si>
    <t>73/120</t>
  </si>
  <si>
    <t>8/36</t>
  </si>
  <si>
    <t>10/138</t>
  </si>
  <si>
    <t>1/172</t>
  </si>
  <si>
    <t>7/151</t>
  </si>
  <si>
    <t>11/63</t>
  </si>
  <si>
    <t>1/19</t>
  </si>
  <si>
    <t>24/58</t>
  </si>
  <si>
    <t>Eur. J. Public Health</t>
  </si>
  <si>
    <t>High relative humidity pre-harvest reduces post-harvest proliferation of Salmonella in tomatoes</t>
  </si>
  <si>
    <t>Devleesschauwer, Brecht; Marvasi, Massimiliano; Giurcanu, Mihai C; Hochmuth, George J; Speybroeck, Niko; Havelaar, Arie H; Teplitski, Max</t>
  </si>
  <si>
    <t>Food Microbiology</t>
  </si>
  <si>
    <t>Food Microbiol.</t>
  </si>
  <si>
    <t>10.2471/BLT.16.169383</t>
  </si>
  <si>
    <t>Cost-effectiveness of screening for active cases of tuberculosis in Flanders, Belgium</t>
  </si>
  <si>
    <t>Maertens de Noordhout, Charline; Devleesschauwer, Brecht; Haagsma, Juanita A; Havelaar, Arie H; Bertrand, Sophie; Vandenberg, Olivier; Quoilin, Sophie; Brandt, Patrick T; Speybroeck, Niko</t>
  </si>
  <si>
    <t>Eurosurveillance</t>
  </si>
  <si>
    <t>Euro Surveill.</t>
  </si>
  <si>
    <t>Prenatal diagnosis and prevention of toxoplasmosis in pregnant women in Northern Vietnam: study protocol</t>
  </si>
  <si>
    <t>Smit, G Suzanne A; Vu Thi Lam, Binh; Do Trung, Dung; Speybroeck, Niko; Devleesschauwer, Brecht; Padalko, Elizaveta; Roets, Ellen; Dorny, Pierre</t>
  </si>
  <si>
    <t xml:space="preserve">10.1136/jech-2016-208370 </t>
  </si>
  <si>
    <t>10.3402/iee.v6.33842</t>
  </si>
  <si>
    <t>BMC Infect. Dis.</t>
  </si>
  <si>
    <t>10.1186/s12963-016-0116-y</t>
  </si>
  <si>
    <t>True prevalence of anti-Toxoplasma gondii antibodies in Belgian pig farms</t>
  </si>
  <si>
    <t>Jennes, Malgorzata; Devleesschauwer, Brecht; De Craeye, Stéphane; Praet, Nicolas; Verhelst, Delphine; Czaplicki, Guy; Vanrobaeys, Mia; Dorny, Pierre; Cox, Eric</t>
  </si>
  <si>
    <t>The public health impact of congenital toxoplasmosis and cytomegalovirus infection in Belgium</t>
  </si>
  <si>
    <t>Clinical Infectious Diseases</t>
  </si>
  <si>
    <t>Clin. Infect. Dis.</t>
  </si>
  <si>
    <t>Smit, G Suzanne A; Padalko, Elizaveta; Van Acker, Jos; Hens, Niel; Dorny, Pierre; Speybroeck, Niko; Devleesschauwer, Brecht</t>
  </si>
  <si>
    <t>e0005184</t>
  </si>
  <si>
    <t>10.1371/journal.pntd.0005184</t>
  </si>
  <si>
    <t>Toxoplasma gondii in stranded marine mammals from the North Sea and Eastern Atlantic Ocean: findings and diagnostic difficulties</t>
  </si>
  <si>
    <t>van de Velde, Norbert; Devleesschauwer, Brecht; Leopold, Mardik; Begeman, Lineke; Ijsseldijk, Lonneke L; Hiemstra, Sjoukje; Ijzer, Jooske; Brownlow, Andrew; Davison, Nicholas; Haelters, Jan; Jauniaux, Thierry; Siebert, Ursula; Dorny, Pierre; De Craeye, Stéphane</t>
  </si>
  <si>
    <t>10.3390/ijerph14010057</t>
  </si>
  <si>
    <t>10.1186/s13690-017-0174-z</t>
  </si>
  <si>
    <t>Gender and educational differences in the association between smoking and health-related quality of life in Belgium</t>
  </si>
  <si>
    <t>Charafeddine, Rana; Demarest, Stefaan; Cleemput, Irina; Van Oyen, Herman; Devleesschauwer, Brecht</t>
  </si>
  <si>
    <t>Preventive Medicine</t>
  </si>
  <si>
    <t>Prev. Med.</t>
  </si>
  <si>
    <t>Hoffmann, Sandra; Devleesschauwer, Brecht; Aspinall, Willy; Cooke, Roger; Corrigan, Tim; Havelaar, Arie H; Angulo, Frederick J; Gibb, Herman J; Kirk, Martyn D; Lake, Robin J; Speybroeck, Niko; Torgerson, Paul R; Hald, Tine</t>
  </si>
  <si>
    <t>Present status of laboratory diagnosis of human taeniosis/cysticercosis in Europe</t>
  </si>
  <si>
    <t>Gómez-Morales, María Angeles; Gárate, Teresa; Blocher, Joachim; Devleesschauwer, Brecht; Smit, G Suzanne A; Schmidt, Veronika; Pereguer, Maria Jesus; Ludovisi, Alessandra; Pozio, Edoadro; Dorny, Pierre; Gabriël, Sarah; Winkler, Andrea S</t>
  </si>
  <si>
    <t>European Journal of Clinical Microbiology &amp; Infectious Diseases</t>
  </si>
  <si>
    <t>Eur. J. Clin. Microbiol. Infect. Dis.</t>
  </si>
  <si>
    <t>Educational inequalities in premature mortality by region in the Belgian population in the 2000s</t>
  </si>
  <si>
    <t>Renard, Françoise; Devleesschauwer, Brecht; Gadeyne, Sylvie; Tafforeau, Jean; Deboosere, Patrick</t>
  </si>
  <si>
    <t>10.1016/j.fm.2017.04.003</t>
  </si>
  <si>
    <t>Laranjo-González, Minerva; Devleesschauwer, Brecht; Trevisan, Chiara; Allepuz, Alberto; Sotiraki, Smaragda; Abraham, Annette; Boaventura Afonso, Mariana; Blocher, Joachim; Cardoso, Luís; Manuel Correia da Costa, José; Dorny, Pierre; Gabriël, Sarah; Gomes, Jacinto; Ángeles Gómez-Morales, María; Jokelainen, Pikka; Kaminski, Miriam; Krt, Brane; Magnussen, Pascal; Robertson, Lucy J.; Schmidt, Veronika; Schmutzhard, Erich; Smit, Suzanne A.; Šoba, Barbara; Stensvold, Christen Rune; Starič, Jože; Troell, Karin; Vergles Rataj, Aleksandra; Vieira-Pinto, Madalena; Vilhena, Manuela; Wardrop, Nicola Ann; Winkler, Andrea S.; Dermauw, Veronique</t>
  </si>
  <si>
    <t>Seroprevalence of Toxoplasma gondii in pregnant women and livestock in the mainland of China: a systematic review and hierarchical meta-analysis</t>
  </si>
  <si>
    <t>Deng, Huifang; Devleesschauwer, Brecht; Liu, Mingyuan; Li, Jianhua; Wu, Yongning; van der Giessen, Joke; Opsteegh, Marieke</t>
  </si>
  <si>
    <t>Scientific Reports</t>
  </si>
  <si>
    <t>Sci. Rep.</t>
  </si>
  <si>
    <t>10.1093/cid/cix344</t>
  </si>
  <si>
    <t>10.1186/s12879-017-2446-1</t>
  </si>
  <si>
    <t>Braae, Uffe Christian; Devleesschauwer, Brecht; Sithole, Fortune; Wang, Ziqi; Willingham, Arve Lee</t>
  </si>
  <si>
    <t>Moyersoen, Isabelle; Devleesschauwer, Brecht; Dekkers, Arnold; De Ridder, Karin; Tafforeau, Jean; Van Camp, John; Van Oyen, Herman; Lachat, Carl</t>
  </si>
  <si>
    <t>Nutrients</t>
  </si>
  <si>
    <t>Malaria Journal</t>
  </si>
  <si>
    <t>Malar. J.</t>
  </si>
  <si>
    <t>True malaria prevalence in children under five: Bayesian estimation using data of malaria household surveys from three sub-Saharan countries</t>
  </si>
  <si>
    <t>Mfueni, Elvire; Devleesschauwer, Brecht; Van Malderen, Carine; Rosas-Aguirre, Angel; Brandt, Patrick; Dorsey, Grant; Ogutu, Bernhards; Snow, Robert W; Tshilolo, Léon; Zurovac, Dejan; Vanderelst, Dieter; Speybroeck, Niko</t>
  </si>
  <si>
    <t>10.1007/s10096-017-3029-1</t>
  </si>
  <si>
    <t>Food groups and risk of coronary heart disease, stroke and heart failure: a systematic review and dose-response meta-analysis of prospective studies</t>
  </si>
  <si>
    <t>Bechthold, Angela; Boeing, Heiner; Schwedhelm, Carolina; Hoffmann, Georg; Knüppel, Sven; Iqbal, Khalid; De Henauw, Stefaan; Michels, Nathalie; Devleesschauwer, Brecht; Schlesinger, Sabrina; Schwingshackl, Lukas</t>
  </si>
  <si>
    <t>10.1186/s13690-017-0212-x</t>
  </si>
  <si>
    <t>Assessment of the societal cost of Taenia solium in Angónia district, Mozambique</t>
  </si>
  <si>
    <t>Trevisan, Chiara; Devleesschauwer, Brecht; Praet, Nicolas; Pondja, Alberto; Assane, Yunus Amade; Dorny, Pierre; Thamsborg, Stig Milan; Magnussen, Pascal; Johansen, Maria Vang</t>
  </si>
  <si>
    <t>34/217</t>
  </si>
  <si>
    <t>9/136</t>
  </si>
  <si>
    <t>category</t>
  </si>
  <si>
    <t>Oncology</t>
  </si>
  <si>
    <t>Veterinary Sciences</t>
  </si>
  <si>
    <t>15/64</t>
  </si>
  <si>
    <t>Multidisciplinary Sciences</t>
  </si>
  <si>
    <t>Tropical Medicine</t>
  </si>
  <si>
    <t>17/100</t>
  </si>
  <si>
    <t>Mathematics, Interdisciplinary Applications</t>
  </si>
  <si>
    <t>9/36</t>
  </si>
  <si>
    <t>37/84</t>
  </si>
  <si>
    <t>Infectious Diseases</t>
  </si>
  <si>
    <t>Agriculture, Dairy &amp; Animal Science</t>
  </si>
  <si>
    <t>15/157</t>
  </si>
  <si>
    <t>Public, Environmental &amp; Occupational Health</t>
  </si>
  <si>
    <t>Critical Reviews in Food Science and Nutrition</t>
  </si>
  <si>
    <t>Crit. Rev. Food Sci. Nutr.</t>
  </si>
  <si>
    <t>Epidemiology of taeniosis/cysticercosis in Europe, a systematic review: Western Europe</t>
  </si>
  <si>
    <t>10.1186/s13071-017-2280-8</t>
  </si>
  <si>
    <t>Tropical Medicine and International Health</t>
  </si>
  <si>
    <t>10.1093/eurpub/ckx090</t>
  </si>
  <si>
    <t>Attribution of global foodborne disease to specific foods: Findings from a World Health Organization structured expert elicitation</t>
  </si>
  <si>
    <t>Risk ranking of foodborne parasites: state of the art</t>
  </si>
  <si>
    <t>Devleesschauwer, Brecht; Bouwknegt, Martijn; Dorny, Pierre; Gabriël, Sarah; Havelaar, Arie H; Quoilin, Sophie; Robertson, Lucy J; Speybroeck, Niko; Torgerson, Paul R; van der Giessen, Joke W B; Trevisan, Chiara</t>
  </si>
  <si>
    <t>Food and Waterborne Parasitology</t>
  </si>
  <si>
    <t>Food Waterborne Parasitol.</t>
  </si>
  <si>
    <t>10.3390/nu9080860</t>
  </si>
  <si>
    <t>Intake of fat-soluble vitamins in the Belgian population: adequacy and contribution of foods, fortified foods and supplements</t>
  </si>
  <si>
    <t>One Health</t>
  </si>
  <si>
    <t>Taenia solium from a community perspective: preliminary costing data in the Katete and Sinda districts in eastern Zambia</t>
  </si>
  <si>
    <t>Hobbs, Emma C; Mwape, Kabemba E; Devleesschauwer, Brecht; Gabriël, Sarah; Chembensofu, Mwelwa; Mambwe, Moses; Phiri, Isaac K; Masuku, Max; Zulu, Gideon; Colston, Angela; Willingham III, Arve Lee; Berkvens, Dirk; Dorny, Pierre; Bottieau, Emmanuel; Speybroeck, Niko</t>
  </si>
  <si>
    <t>Hobbs, Emma C; Mwape, Kabemba E; Van Damme, Inge; Berkvens, Dirk; Zulu, Gideon; Mambwe, Moses; Chembensofu, Mwelwa; Phiri, Isaac K; Masuku, Maxwell; Bottieau, Emmanuel; Devleesschauwer, Brecht; Speybroeck, Niko; Colston, Angela; Dorny, Pierre; Willingham III, Arve Lee; Gabriël, Sarah</t>
  </si>
  <si>
    <t>10.1007/978-3-319-67664-7_15</t>
  </si>
  <si>
    <t>10.1371/journal.pone.0183641</t>
  </si>
  <si>
    <t>9</t>
  </si>
  <si>
    <t>e0183641</t>
  </si>
  <si>
    <t>10.1186/s13071-017-2362-7</t>
  </si>
  <si>
    <t>International Journal of Cancer</t>
  </si>
  <si>
    <t>Int. J. Cancer</t>
  </si>
  <si>
    <t>Schwingshackl, Lukas; Schwedhelm, Carolina; Hoffmann, Georg; Knüppel, Sven; Preterre, Anne Laure; Iqbal, Khalid; Bechthold, Angela; De Henauw, Stefaan; Michels, Nathalie; Devleesschauwer, Brecht; Schlesinger, Sabrina; Boeing, Heiner</t>
  </si>
  <si>
    <t>10.2807/1560-7917.ES.2017.22.38.30615</t>
  </si>
  <si>
    <t>Burden of salmonellosis, campylobacteriosis and listeriosis: a time series analysis, Belgium, 2012 to 2020</t>
  </si>
  <si>
    <t>10.1016/j.ypmed.2017.09.016</t>
  </si>
  <si>
    <t>10.1080/10408398.2017.1392288</t>
  </si>
  <si>
    <t>Re-visiting the detection of porcine cysticercosis based on full carcass dissections of naturally Taenia solium infected pigs</t>
  </si>
  <si>
    <t>Mwelma, Chembensofu; Mwape, K E; Van Damme, Inge; Hobbs, Emma; Phiri, I K; Masuku, M; Zulu, G; Colston, A; Willingham, A L; Devleesschauwer, Brecht; Van Hul, Anke; Chota, A; Speybroeck, Niko; Berkvens, Dirk; Dorny, Pierre; Gabriël, Sarah</t>
  </si>
  <si>
    <t>10.1186/s13071-017-2520-y</t>
  </si>
  <si>
    <t>Infectious Diseases of Poverty</t>
  </si>
  <si>
    <t>Infect. Dis. Poverty</t>
  </si>
  <si>
    <t>10.1186/s40249-017-0366-3</t>
  </si>
  <si>
    <t>Asale, Abebe; Duchateau, Luc; Devleesschauwer, Brecht; Huisman, Gerdien; Yewhalaw, Delenasaw</t>
  </si>
  <si>
    <t>10.1016/j.fawpar.2017.11.001</t>
  </si>
  <si>
    <t>10.1016/j.onehlt.2017.11.003</t>
  </si>
  <si>
    <t>10.1002/ijc.31198</t>
  </si>
  <si>
    <t>10.1016/j.vetpar.2018.01.001</t>
  </si>
  <si>
    <t>Preliminary assessment of the computer-based Taenia solium educational program 'The Vicious Worm' on knowledge uptake in primary school children in rural areas in eastern Zambia</t>
  </si>
  <si>
    <t>10.1111/tmi.13029</t>
  </si>
  <si>
    <t>BMC Veterinary Research</t>
  </si>
  <si>
    <t>BMC Vet. Res.</t>
  </si>
  <si>
    <t>Moyersoen, Isabelle; Lachat, Carl; Cuypers, Koenraad; De Ridder, Karin; Devleesschauwer, Brecht; Tafforeau, Jean; Vandevijvere, Stefanie; Vansteenland, Margot; De Meulenaer, Bruno; Van Camp, John; Van Oyen, Herman</t>
  </si>
  <si>
    <t>Jansen, Famke; Dorny, Pierre; Trevisan, Chiara; Dermauw, Veronique; Laranjo-González, Minerva; Allepuz, Alberto; Dupuy, Céline; Krit, Meryam; Gabriël, Sarah; Devleesschauwer, Brecht</t>
  </si>
  <si>
    <t>Changes in health in Belgium, 1990-2016: a benchmarking analysis based on the Global Burden of Disease 2016 study</t>
  </si>
  <si>
    <t>Maertens de Noordhout, Charline; Van Oyen, Herman; Speybroeck, Niko; Devleesschauwer, Brecht</t>
  </si>
  <si>
    <t>Food groups and risk of colorectal cancer</t>
  </si>
  <si>
    <t>Mapping occurrence of Taenia solium taeniosis/cysticercosis and areas at risk of porcine cysticercosis in Central America and the Caribbean basin</t>
  </si>
  <si>
    <t>Economic impact of bovine cysticercosis and taeniosis caused by Taenia saginata in Belgium</t>
  </si>
  <si>
    <t>Welfare-Adjusted Life Years (WALY): A novel metric of animal welfare that combines the impacts of impaired welfare and abbreviated lifespan</t>
  </si>
  <si>
    <t>Teng, Kendy Tzu-Yun; Devleesschauwer, Brecht; Maertens de Noordhout, Charline; Bennett, Peter; McGreevy, Paul Damien; Chiu, Po-Yu; Toribio, Jenny-Ann LML; Dhand, Navneet K</t>
  </si>
  <si>
    <t>10.1186/s12936-018-2211-y</t>
  </si>
  <si>
    <t>8-9</t>
  </si>
  <si>
    <t>Investigating the risk-benefit balance of substituting red and processed meat with fish in a Danish diet</t>
  </si>
  <si>
    <t>Thomsen, Sofie Theresa; Pires, Sara Monteiro; Devleesschauwer, Brecht; Poulsen, Morten; Fagt, Sisse; Ygil, Karin Hess; Andersen, Rikke</t>
  </si>
  <si>
    <t>Generating the evidence for risk reduction -- a contribution to the future of food-based dietary guidelines</t>
  </si>
  <si>
    <t>Schwingshackl, Lukas; Schlesinger, Sabrina; Devleesschauwer, Brecht; Hoffmann, Georg; Bechthold, Angela; Schwedhelm, Carolina; Iqbal, Khalid; Knüppel, Sven; Boeing, Heiner</t>
  </si>
  <si>
    <t>Proceedings of the Nutrition Society</t>
  </si>
  <si>
    <t>Proc. Nutr. Soc.</t>
  </si>
  <si>
    <t>Estimation of the worldwide seroprevalence of cytomegalovirus: a systematic review and meta-analysis</t>
  </si>
  <si>
    <t>Zuhair, Mohamed; Smit, G Suzanne A; Wallis, Gabriel; Jabbar, Faiz; Smith, Colette; Devleesschauwer, Brecht; Griffiths, Paul</t>
  </si>
  <si>
    <t>Reviews in Medical Virology</t>
  </si>
  <si>
    <t>Rev. Med. Virol.</t>
  </si>
  <si>
    <t>10.3390/nu10020223</t>
  </si>
  <si>
    <t>Do current fortification and supplementation programs assure adequate intake of fat-soluble vitamins in Belgian infants, toddlers, pregnant women, and lactating women?</t>
  </si>
  <si>
    <t>Epidemiology and economic impact of bovine cysticercosis and taeniosis caused by Taenia saginata in North-eastern Spain (Catalonia)</t>
  </si>
  <si>
    <t>Laranjo-González, Minerva; Devleesschauwer, Brecht; Jansen, Famke; Dorny, Pierre; Dupuy, Céline; Requena-Méndez, Ana; Allepuz, Alberto</t>
  </si>
  <si>
    <t>Food Chem. Toxicol.</t>
  </si>
  <si>
    <t>Food and Chemical Toxicology</t>
  </si>
  <si>
    <t>Bouwknegt, Martijn; Devleesschauwer, Brecht; Graham, Heather; Robertson, Lucy J; van der Giessen, Joke; EURO-FBP Workshop Participants</t>
  </si>
  <si>
    <t>17-00161</t>
  </si>
  <si>
    <t>10.2807/1560-7917.ES.2018.23.9.17-00161</t>
  </si>
  <si>
    <t>10.1186/s12879-018-3030-z</t>
  </si>
  <si>
    <t>10.1186/s12917-018-1440-1</t>
  </si>
  <si>
    <t>10.1186/s13071-018-2804-x</t>
  </si>
  <si>
    <t>10.1038/s41598-018-24361-8</t>
  </si>
  <si>
    <t>10.1017/S0029665118000125</t>
  </si>
  <si>
    <t>Food Safety Economics: Incentives for a Safer Food Supply</t>
  </si>
  <si>
    <t>Burden and Risk Assessment of Foodborne Disease</t>
  </si>
  <si>
    <t>Roberts, Tanya</t>
  </si>
  <si>
    <t>Devleesschauwer, Brecht; Scharff, Robert L; Kowalcyk, Barbara B; Havelaar, Arie H</t>
  </si>
  <si>
    <t>The Global Burden of Foodborne Disease</t>
  </si>
  <si>
    <t>Devleesschauwer, Brecht; Haagsma, Juanita A; Mangen, Marie-Josée M; Lake, Robin J; Havelaar, Arie H</t>
  </si>
  <si>
    <t>Improving Burden of Disease and Source Attribution Estimates</t>
  </si>
  <si>
    <t>Kowalcyk, Barbara B; Pires, Sara M; Scallan, Elaine; Lamichhane, Archana; Havelaar, Arie H; Devleesschauwer, Brecht</t>
  </si>
  <si>
    <t>Cost effectiveness of a community based prevention and treatment of acute malnutrition programme in Mumbai slums, India</t>
  </si>
  <si>
    <t>Okello, Walter; Okello, Anna; Inthavong, Phouth; Tiemann, Tassilo; Phengvilasouk, Ammaly; Devleesschauwer, Brecht; Shaw, Alexandra; Allen, John</t>
  </si>
  <si>
    <t>Improved methods to capture the total societal benefits of zoonotic disease control: Demonstrating the cost-effectiveness of an integrated control programme for Taenia solium, soil transmitted helminths and classical swine fever in northern Lao PDR</t>
  </si>
  <si>
    <t>Combining primary care surveillance and a meta-analysis to estimate the incidence of the clinical manifestations of Lyme borreliosis in Belgium, 2015-2017</t>
  </si>
  <si>
    <t>Geebelen, Laurence; Van Cauteren, Dieter; Devleesschauwer, Brecht; Moreels, Sarah; Tersago, Katrien; Van Oyen, Herman; Speybroeck, Niko; Lernout, Tinne</t>
  </si>
  <si>
    <t>Ticks and Tick-Borne Diseases</t>
  </si>
  <si>
    <t>Ticks Tick Borne Dis</t>
  </si>
  <si>
    <t>10.1186/s12889-018-5708-y</t>
  </si>
  <si>
    <t>10.1007/978-3-319-92138-9_6</t>
  </si>
  <si>
    <t>10.1007/978-3-319-92138-9_7</t>
  </si>
  <si>
    <t>10.1007/978-3-319-92138-9_9</t>
  </si>
  <si>
    <t>10.1186/s13071-018-2931-4</t>
  </si>
  <si>
    <t>Cassini, Alessandro; Högberg, Liselotte Diaz; Plachouras, Diamantis; Quattrocchi, Annalisa; Hoxha, Ana; Simonsen, Gunnar Skov; Colomb-Cotinat, Mélanie; Kretzschmar, Mirjam E.; Devleesschauwer, Brecht; Cecchini, Michele; Ouakrim, Driss Ait; Oliveira, Tiago Cravo; Struelens, Marc J.; Suetens, Carl; Monnet, Dominique L.; the Burden of AMR collaborative group</t>
  </si>
  <si>
    <t>10.1016/j.fct.2018.06.063</t>
  </si>
  <si>
    <t>Bobic, Branko; Thomas, Lian; Djurkovic Djakovic, Olgica; Devleesschauwer, Brecht; Dermauw, Veronique; Dorny, Pierre; Braae, Uffe Christian; Robertson, Lucy; Saratsis, Anastasios; Eichenberger, Ramon; Torgerson, Paul</t>
  </si>
  <si>
    <t>Dermauw, Veronique; Dorny, Pierre; Braae, Uffe Christian; Devleesschauwer, Brecht; Robertson, Lucy J; Saratsis, Anastasios; Thomas, Lian F</t>
  </si>
  <si>
    <t>Epidemiology and Infection</t>
  </si>
  <si>
    <t>Epidemiol. Infect.</t>
  </si>
  <si>
    <t>Environmental Research</t>
  </si>
  <si>
    <t>Environ. Res.</t>
  </si>
  <si>
    <t>Estimates of the 2015 global and regional disease burden from four foodborne metals – arsenic, cadmium, lead and methylmercury</t>
  </si>
  <si>
    <t>Gibb, Herman J; Barchowsky, Aaron; Bellinger, David; Bolger, P Michael; Carrington, Clark; Havelaar, Arie H; Oberoi, Shilpi; Zang, Yu; O'Leary, Keri; Devleesschauwer, Brecht</t>
  </si>
  <si>
    <t>Global burden of intellectual disability resulting from dietary exposure to lead, 2015</t>
  </si>
  <si>
    <t>Carrington, Clark; Devleesschauwer, Brecht; Gibb, Herman J; Bolger, P Michael</t>
  </si>
  <si>
    <t>Global burden of late-stage chronic kidney disease resulting from dietary exposure to cadmium, 2015</t>
  </si>
  <si>
    <t>Zang, Yu; Devleesschauwer, Brecht; Bolger, P Michael; Goodman, Emily; Gibb, Herman J</t>
  </si>
  <si>
    <t>Global burden of cancer and coronary heart disease resulting from dietary exposure to arsenic, 2015</t>
  </si>
  <si>
    <t>Oberoi, Shilpi; Devleesschauwer, Brecht; Gibb, Herman J; Barchowsky, Aaron</t>
  </si>
  <si>
    <t>Global burden of intellectual disability resulting from prenatal exposure to methylmercury, 2015</t>
  </si>
  <si>
    <t>Bellinger, David C; Devleesschauwer, Brecht; O'Leary, Keri; Gibb, Herman J</t>
  </si>
  <si>
    <t>Hobbs, Emma Clare; Mwape, Kabemba Evans; Phiri, Andrew M; Mambwe, Moses; Mambo, Richard; Thys, Séverine; Zulu, Gideon; Chembensofu, Mwelwa; Trevisan, Chiara; Van Damme, Inge; Phiri, Isaac Khozozo; Devleesschauwer, Brecht; Ketzis, Jennifer K.; Dorny, Pierre; Willingham, A. Lee; Gabriël, Sarah</t>
  </si>
  <si>
    <t>Epidemiology of taeniosis/cysticercosis in Europe, a systematic review: Eastern Europe</t>
  </si>
  <si>
    <t>Trevisan, Chiara; Sotiraki, Samaragda; Laranjo-González, Minerva; Dermauw, Veronique; Wang, Ziqi; Kärssin, Age; Cvetkovikj, Aleksandar; Winkler, Andrea Sylvia; Abraham, Annette; Bobić, Branko; Lassen, Brian; Cretu, Carmen; Vasile, Cozma; Arvanitis, Dimitris; Deksne, Gunita; Boro, Ilievski; Kucsera, István; Karamon, Jacek; Stefanovska, Jovana; Břetislav, Koudela; Pavlova, Maja Jurhar; Varady, Marian; Pavlak, Marina; Sarkunas, Mindaugas; Kaminski, Miriam; Djurković-Djaković, Olgica; Jokelainen, Pikka; Stojčević Jan, Dagny; Schmidt, Veronika; Dakić, Zorica; Dorny, Pierre; Gabriël, Sarah; Devleesschauwer, Brecht</t>
  </si>
  <si>
    <t xml:space="preserve">Global burden of melioidosis, 2015: a systematic review and data synthesis </t>
  </si>
  <si>
    <t>N. Engl. J. Med.</t>
  </si>
  <si>
    <t>Hobbs, Emma C; Mwape, Kabemba Evans; Devleesschauwer, Brecht; Van Damme, Inge; Krit, Meryam; Berkvens, Dirk; Zulu, Gideon; Mambwe, Moses; Chembensofu, Mwelwa; Trevisan, Chiara; Baauw, Jacoba; Phiri, Isaac Khozozo; Speybroeck, Niko; Ketzis, Jennifer; Dorny, Pierre; Willingham III, Arve Lee; Gabriël, Sarah</t>
  </si>
  <si>
    <t>Sero-epidemiological status and risk factors of toxoplasmosis in pregnant women in Northern Vietnam</t>
  </si>
  <si>
    <t>Epidemiology of Taenia saginata taeniosis/cysticercosis: a systematic review of the distribution in the Americas</t>
  </si>
  <si>
    <t>Braae, Uffe Christian; Thomas, Lian F; Robertson, Lucy J; Dermauw, Veronique; Dorny, Pierre; Willingham, Arve Lee; Saratsis, Anastasios; Devleesschauwer, Brecht</t>
  </si>
  <si>
    <t>e0202580</t>
  </si>
  <si>
    <t>10.1371/journal.pone.0202580</t>
  </si>
  <si>
    <t>The health and economic impact of acute gastroenteritis in Belgium, 2010–2014</t>
  </si>
  <si>
    <t>Papadopoulos, Theofilos; Klamer, Sofieke; Jacquinet, Stephanie; Catry, Boudewijn; Litzroth, Amber; Mortgat, Laure; Mamouris, Pavlos; Rebolledo, Javiera; Vaes, Bert; Van Cauteren, Dieter; Van der Heyden, Johan; Beutels, Philippe; Devleesschauwer, Brecht</t>
  </si>
  <si>
    <t>Dixon, Matthew Andrew; Braae, Uffe Christian; Winskill, Peter; Walker, Martin; Devleesschauwer, Brecht; Gabriël, Sarah; Basáñez, Maria-Gloria</t>
  </si>
  <si>
    <t xml:space="preserve"> e0006782</t>
  </si>
  <si>
    <t>10.1371/journal.pntd.0006782</t>
  </si>
  <si>
    <t>10.1186/s13071-018-3079-y</t>
  </si>
  <si>
    <t>Intake of 12 food groups and disability-adjusted life years from coronary heart disease, stroke, type 2 diabetes, and colorectal cancer in 16 European countries</t>
  </si>
  <si>
    <t>Schwingshackl, Lukas; Knüppel, Sven; Michels, Nathalie; Schwedhelm, Carolina; Hoffmann, Georg; Iqbal, Khalid; Dehenauw, Stefaan; Boeing, Heiner; Devleesschauwer, Brecht</t>
  </si>
  <si>
    <t>Evolution of educational inequalities in life and health expectancies at 25 years in Belgium between 2001 and 2011: a census-based study</t>
  </si>
  <si>
    <t>Renard, Françoise; Devleesschauwer, Brecht; Van Oyen, Herman; Gadeyne, Sylvie; Deboosere, Patrick</t>
  </si>
  <si>
    <t>Status and potential of pathogen genomics for public health practice: a scoping review</t>
  </si>
  <si>
    <t>Van Goethem, Nina; Descamps, Tine; Devleesschauwer, Brecht; Roosens, Nancy; Boon, Nele; Van Oyen, Herman; Robert, Annie</t>
  </si>
  <si>
    <t>Implementation Science</t>
  </si>
  <si>
    <t>10.1016/j.envres.2018.10.005</t>
  </si>
  <si>
    <t>4</t>
  </si>
  <si>
    <t>10.1186/s13071-018-3153-5</t>
  </si>
  <si>
    <t>Implement. Sci.</t>
  </si>
  <si>
    <t>Attributable deaths and disability-adjusted life-years caused by infections with antibiotic-resistant bacteria in the EU and the European Economic Area in 2015: a population-level modelling analysis</t>
  </si>
  <si>
    <t>10.1016/S1473-3099(18)30605-4</t>
  </si>
  <si>
    <t>The seroprevalence of cytomegalovirus infection in Belgium anno 2002 and 2006: a comparative analysis with hepatitis A virus seroprevalence</t>
  </si>
  <si>
    <t>Epidemiology of Taenia saginata taeniosis/cysticercosis: a systematic review of the distribution in southern and eastern Africa</t>
  </si>
  <si>
    <t>10.1186/s13071-018-3163-3</t>
  </si>
  <si>
    <t>10.1371/journal.pone.0205688</t>
  </si>
  <si>
    <t xml:space="preserve"> e0205688</t>
  </si>
  <si>
    <t>Global and regional source attribution of Shiga toxin-producing Escherichia coli infections using analysis of outbreak surveillance data</t>
  </si>
  <si>
    <t>Pires, Sara Monteiro; Majowicz, Shannon; Gill, Alexander; Devleesschauwer, Brecht</t>
  </si>
  <si>
    <t>Taenia solium control in Zambia: the potholed road to success</t>
  </si>
  <si>
    <t>Gabriël, Sarah; Mwape, K Evans; Phiri, I K; Devleesschauwer, Brecht; Dorny, Pierre</t>
  </si>
  <si>
    <t>Parasite Epidemiology and Control</t>
  </si>
  <si>
    <t>Parasite Epidemiol. Control</t>
  </si>
  <si>
    <t>Perceptions and acceptability of piloted Taenia solium control and elimination interventions in two endemic communities in eastern Zambia</t>
  </si>
  <si>
    <t>Transboundary and Emerging Diseases</t>
  </si>
  <si>
    <t>Transbound. Emerg. Dis.</t>
  </si>
  <si>
    <t>Renard, Françoise; Devleesschauwer, Brecht; Speybroeck, Niko; Deboosere, Patrick</t>
  </si>
  <si>
    <t>Epidemiology of Taenia saginata taeniosis/cysticercosis in the Russian Federation</t>
  </si>
  <si>
    <t>e05495</t>
  </si>
  <si>
    <t>EFSA Journal</t>
  </si>
  <si>
    <t>EFSA J.</t>
  </si>
  <si>
    <t>EFSA Panel on Biological Hazards (BIOHAZ); Koutsoumanis, Kostas; Allende, Ana; Alvarez‐Ordóñez, Avelino; Bolton, Declan; Bover‐Cid, Sara; Chemaly, Marianne; Davies, Robert; De Cesare, Alessandra; Herman, Lieve; Hilbert, Friederike; Lindqvist, Roland; Nauta, Maarten; Peixe, Luisa; Ru, Giuseppe; Simmons, Marion; Skandamis, Panagiotis; Suffredini, Elisabetta; Cacciò, Simone; Chalmers, Rachel; Deplazes, Peter; Devleesschauwer, Brecht; Innes, Elisabeth; Romig, Thomas; van der Giessen, Joke; Hempen, Michaela; Van der Stede, Yves; Robertson, Lucy</t>
  </si>
  <si>
    <t>Public health risks associated with food‐borne parasites</t>
  </si>
  <si>
    <t>10.2903/j.efsa.2018.5495</t>
  </si>
  <si>
    <t>European Journal of Epidemiology</t>
  </si>
  <si>
    <t>Eur. J. Epidemiol.</t>
  </si>
  <si>
    <t>A probabilistic approach for risk-benefit assessment of food substitutions: a case study on substituting meat by fish</t>
  </si>
  <si>
    <t>Thomsen, Sofie Theresa; de Boer, Waldo; Pires, Sara M; Devleesschauwer, B; Fagt, Sisse; Andersen, Rikke; Poulsen, Morten; van der Voet, Hilko</t>
  </si>
  <si>
    <t>10.1186/s13071-018-3236-3</t>
  </si>
  <si>
    <t>A comprehensive catalogue of EQ-5D scores in chronic disease: results of a systematic review</t>
  </si>
  <si>
    <t>Van Wilder, Lisa; Rammant, Elke; Clays, Els; Devleesschauwer, Brecht; Pauwels, Nele; De Smedt, Delphine</t>
  </si>
  <si>
    <t>10.1016/j.envres.2018.12.042</t>
  </si>
  <si>
    <t>10.1016/j.ttbdis.2018.12.007</t>
  </si>
  <si>
    <t>10.1016/j.envres.2018.12.062</t>
  </si>
  <si>
    <t>10.1016/j.parepi.2018.e00082</t>
  </si>
  <si>
    <t>Associating sporadic, foodborne illness caused by Shiga toxin-producing Escherichia coli with specific foods: a systematic review and meta-analysis of case-control studies</t>
  </si>
  <si>
    <t>Devleesschauwer, Brecht; Pires, Sara Monteiro; Young, Ian; Gill, Alex; Majowicz, Shannon E</t>
  </si>
  <si>
    <t>e00082</t>
  </si>
  <si>
    <t>10.1016/j.envres.2019.01.025</t>
  </si>
  <si>
    <t>10.1017/S0950268818003503</t>
  </si>
  <si>
    <t>Moyersoen, Isabelle; Devleesschauwer, Brecht; Dekkers, Arnold; Verkaik-Kloosterman, Janneke; De Ridder, Karin; Vandevijvere, Stefanie; Tafforeau, Jean; Van Oyen, Herman; Lachat, Carl; Van Camp, John</t>
  </si>
  <si>
    <t>The Journal of Nutrition</t>
  </si>
  <si>
    <t>J. Nutr.</t>
  </si>
  <si>
    <t>10.1186/s13690-019-0330-8</t>
  </si>
  <si>
    <t>Monitoring health inequalities when the socio-economic composition changes: are the Slope and Relative Indices of Inequality appropriate ? Results of a simulation study</t>
  </si>
  <si>
    <t>Epidemiology of Taenia saginata taeniosis/cysticercosis: a systematic review of the distribution in the Middle East and North Africa</t>
  </si>
  <si>
    <t>Saratsis, Anastasios; Sotiraki, Smaragda; Braae, Uffe C; Devleesschauwer, Brecht; Dermauw, Veronique; Eichenberger, Ramon M; Thomas, Lian F; Bobić, Branko; Dorny, Pierre; Gabriël, Sarah; Robertson, Lucy J</t>
  </si>
  <si>
    <t>e73</t>
  </si>
  <si>
    <t>SC</t>
  </si>
  <si>
    <t>UGent</t>
  </si>
  <si>
    <t>Rahman, Anisur K M A; Smit, Suzanne; Devleesschauwer, Brecht; Kostoulas, Polychronis; Abatih, Emmanuel; Saegerman, Claude; Shamsuddin, Mohammed; Berkvens, Dirk; Dhand, Navneet K; Ward, Michael P</t>
  </si>
  <si>
    <t>N/A</t>
  </si>
  <si>
    <t>OK</t>
  </si>
  <si>
    <t>Bayesian evaluation of three serological tests for the diagnosis of bovine brucellosis in Bangladesh</t>
  </si>
  <si>
    <t>10.1002/rmv.2034</t>
  </si>
  <si>
    <t>Global disease burden of pathogens in animal source foods, 2010</t>
  </si>
  <si>
    <t>Havelaar, Arie H; Li, Min; Hoffmann, Sandra; Hald, Tine; Kirk, Martyn D; Torgerson, Paul R; Devleesschauwer, Brecht</t>
  </si>
  <si>
    <t>10.1016/j.fct.2019.02.018</t>
  </si>
  <si>
    <t>Taenia solium taeniosis/cysticercosis and the co-distribution with schistosomiasis in Africa</t>
  </si>
  <si>
    <t>Prioritisation of food-borne parasites in Europe, 2016</t>
  </si>
  <si>
    <t>Health‐related quality of life in patients with melanoma expressed as utilities and disability weights</t>
  </si>
  <si>
    <t>10.1016/j.envres.2019.02.023</t>
  </si>
  <si>
    <t>Epidemiology of Taenia saginata taeniosis/cysticercosis: a systematic review of the distribution in Central and Western Asia and the Caucasus</t>
  </si>
  <si>
    <t>Torgerson, Paul R; Abdybekova, Aida M; Minbaeva, Gulnara; Shapiyeva, Zhanna; Thomas, Lian F; Dermauw, Veronique; Devleesschauwer, Brecht; Gabriël, Sarah; Dorny, Pierre; Braae, Uffe Christian; Saratsis, Anastasios; Robertson, Lucy J; Bobić, Branko</t>
  </si>
  <si>
    <t>10.1017/S095026881900044X</t>
  </si>
  <si>
    <t>10.1186/s12879-019-3885-7</t>
  </si>
  <si>
    <t>e146</t>
  </si>
  <si>
    <t>10.1186/s13071-019-3339-5</t>
  </si>
  <si>
    <t>Smit, G Suzanne A; Abrams, Steven; Dorny, Pierre; Speybroeck, Niko; Devleesschauwer, Brecht; Hutse, Veronik; Jansens, Hilde; Theeten, Heidi; Beutels, Philippe; Hens, Niel</t>
  </si>
  <si>
    <t>e154</t>
  </si>
  <si>
    <t>10.1017/S0950268819000487</t>
  </si>
  <si>
    <t>Effects of 'The Vicious Worm' educational tool on Taenia solium knowledge retention in Zambian primary school students after one year</t>
  </si>
  <si>
    <t>Epidemiology of Taenia saginata taeniosis/cysticercosis: a systematic review of the distribution in Western and Central Africa</t>
  </si>
  <si>
    <t>Hendrickx, Emilie; Thomas, Lian F; Dorny, Pierre; Bobić, Branko; Braae, Uffe Christian; Devleesschauwer, Brecht; Eichenberger, Ramon M; Gabriël, Sarah; Saratsis, Anastasios; Torgerson, Paul R; Robertson, Lucy J; Dermauw, Veronique</t>
  </si>
  <si>
    <t>10.1186/s13071-019-3438-3</t>
  </si>
  <si>
    <t>e0007301</t>
  </si>
  <si>
    <t>10.1371/journal.pntd.0007301</t>
  </si>
  <si>
    <t>Strategies for tackling Taenia solium taeniosis/cysticercosis: A systematic review and comparison of transmission models, including an assessment of the wider Taeniidae family transmission models</t>
  </si>
  <si>
    <t>Smit, G Suzanne A; Vu, Binh Thi Lam; Do, Dung Trung; Do, Quan Ha; Pham, Huy Quang; Speybroeck, Niko; Devleesschauwer, Brecht; Padalko, Elizaveta; Roets, Ellen; Dorny, Pierre</t>
  </si>
  <si>
    <t>10.1007/s10654-019-00523-4</t>
  </si>
  <si>
    <t>Adjusting for comorbidity in incidence-based DALY calculations: an individual-based modeling approach</t>
  </si>
  <si>
    <t>McDonald, Scott A; Haagsma, Juanita A; Cassini, Alessandro; Devleesschauwer, Brecht</t>
  </si>
  <si>
    <t>10.1111/tbed.13214</t>
  </si>
  <si>
    <t>e2034</t>
  </si>
  <si>
    <t>10.1371/journal.pone.0216545</t>
  </si>
  <si>
    <t>e0216545</t>
  </si>
  <si>
    <t xml:space="preserve"> e0007336</t>
  </si>
  <si>
    <t>10.1186/s12889-019-6980-1</t>
  </si>
  <si>
    <t>10.1371/journal.pntd.0007336</t>
  </si>
  <si>
    <t>Kritik an Population Attributable Fraction bei genauerem Hinsehen nicht gerechtfertigt</t>
  </si>
  <si>
    <t>Gesundheitswesen</t>
  </si>
  <si>
    <t>Gesundheitswesen.</t>
  </si>
  <si>
    <t>10.1055/a-0915-1215</t>
  </si>
  <si>
    <t>Plass, D; Tobollik, M; Devleesschauwer, Brecht; Grill, E; Hoffmann, B; Hurrass, J; Künzli, N; Peters, A; Rothenbacher, D; Schneider, A; Wichmann, H E; Wintermeyer, D; Wolf, J; Zeeb, H; Straff, W</t>
  </si>
  <si>
    <t>10.1093/jn/nxz119</t>
  </si>
  <si>
    <t>10.1186/s13071-019-3584-7</t>
  </si>
  <si>
    <t>New England Journal of Medicine</t>
  </si>
  <si>
    <t>10.1016/S1473-3099(19)30157-4</t>
  </si>
  <si>
    <t>Otavova, Martina; Van Oyen, Herman; Yokota, Renata T C; Charafeddine, Rana; Joossens, Luk; Molenberghs, Geert; Nusselder, Wilma J; Boshuizen, Hendriek C; Devleesschauwer, Brecht</t>
  </si>
  <si>
    <t>Spatial and molecular mapping of the PfKelch13 gene polymorphism in Africa in the era of emerging Plasmodium falciparum resistance to artemisinin: A systematic review</t>
  </si>
  <si>
    <t xml:space="preserve">Kalenda, Nadine Kayiba; Malekita, Doudou Yobi; Tshibangu-Kabamba, Evariste; Rosas-Aguirre, Angel; Tuan, Vo Phuoc; Yamaoka, Yoshio; Devleesschauwer, Brecht; Mvumbi, Dieudonné Makaba; Wemakoy, Emile Okitolonda; De Mol, Patrick; Hayette, Marie-Pierre; Mvumbi, Georges Lelo </t>
  </si>
  <si>
    <t>e236</t>
  </si>
  <si>
    <t>e235</t>
  </si>
  <si>
    <t>10.1017/S095026881900116X</t>
  </si>
  <si>
    <t>10.1017/S0950268819001183</t>
  </si>
  <si>
    <t>Birnie, Emma; Virk, Harjeet Singh; Savelkoel, Jelmer; Spijker, Rene; Bertherat, Eric; Dance, David A B; Limmathurotsakul, Direk; Devleesschauwer, Brecht; Haagsma, Juanita A; Wiersinga, W Joost</t>
  </si>
  <si>
    <t>10.1186/s13012-019-0930-2</t>
  </si>
  <si>
    <t>Quality of Life Research</t>
  </si>
  <si>
    <t>Qual. Life Res.</t>
  </si>
  <si>
    <t>10.1007/s11136-019-02300-y</t>
  </si>
  <si>
    <t>The World Health Organization 2030 goals for Taenia solium: Insights and perspectives from transmission dynamics modelling [version 1; peer review: awaiting peer review]</t>
  </si>
  <si>
    <t>CystiTeam Group for Epidemiology and Modelling of Taenia solium Taeniasis/Cysticercosis</t>
  </si>
  <si>
    <t>Gates Open Research</t>
  </si>
  <si>
    <t>Gates Open Res.</t>
  </si>
  <si>
    <t>10.12688/gatesopenres.13068.1</t>
  </si>
  <si>
    <t>Superficial mycoses in Belgium: burden, costs, and antifungal drugs consumption</t>
  </si>
  <si>
    <t>Becker, Pierre; Lecerf, Pauline; Clareboudt, Julie; Devleesschauwer, Brecht; Packeu, Ann; Hendrickx, Marijke</t>
  </si>
  <si>
    <t>BMC Medical Research Methodology</t>
  </si>
  <si>
    <t>BMC Med. Res. Methodol.</t>
  </si>
  <si>
    <t>Potential impact of reduced tobacco use on life and health expectancies in Belgium</t>
  </si>
  <si>
    <t>10.1007/s00038-019-01315-z</t>
  </si>
  <si>
    <t>Mycoses</t>
  </si>
  <si>
    <t>Perceived utility and feasibility of pathogen genomics for public health practice: a survey among public health professionals working in the field of infectious diseases, Belgium, 2019</t>
  </si>
  <si>
    <t>Van Goethem, Nina; Struelens Marc J; De Keersmaecker, Sigrid C J; Roosens, Nancy H C; Robert, Annie; Quoilin, Sophie; Van Oyen, Herman; Devleesschauwer, Brecht</t>
  </si>
  <si>
    <t>Dixon, Matthew Andrew; Braae, Uffe Christian; Winskill, Peter; Devleesschauwer, Brecht; Trevisan, Chiara; Van Damme, Inge; Walker, Martin; Hamley, Jonathan I D; Ramiandrasoa, Sylvia N; Schmidt, Veronika; Gabriël, Sarah; Harrison, Wendy; Basáñez, Maria-Gloria</t>
  </si>
  <si>
    <t>10.1093/eurpub/ckz225</t>
  </si>
  <si>
    <t>European burden of disease network: strengthening the collaboration</t>
  </si>
  <si>
    <t>Devleesschauwer, Brecht</t>
  </si>
  <si>
    <t>A novel approach to optimize vitamin D intake in Belgium through fortification based on representative food consumption data</t>
  </si>
  <si>
    <t>Health-related quality of life in patients with non-communicable disease: study protocol of a cross-sectional survey</t>
  </si>
  <si>
    <t>Van Wilder, Lisa; Clays, Els; Devleesschauwer, Brecht; Pype, Peter; Boeckxstaens, Pauline; Schrans, Diego; De Smedt, Delphine</t>
  </si>
  <si>
    <t>Epidemiology of Taenia saginata taeniosis/cysticercosis: a systematic review of the distribution in East, Southeast and South Asia</t>
  </si>
  <si>
    <t>Eichenberger, Ramon Marc; Thomas, Lian F; Gabriël, Sarah; Bobić, Branko; Devleesschauwer, Brecht; Robertson, Lucy J; Saratsis, Anastasios; Torgerson, Paul R; Braae, Uffe C; Dermauw, Veronique; Dorny, Pierre</t>
  </si>
  <si>
    <t>Gabriël, Sarah; Mwape, Kabemba Evans; Dorny, Pierre; Hobbs, Emma Clare; Devleesschauwer, Brecht; Van Damme, Inge; Zulu, Gideon; Chembensouf, Mwelwa; Mubanga, Chishimba; Masuku, Maxwell; Mambwe, Moses; De Coster, Tine; Phiri, Isaac Khozozo; Berkvens, Dirk; Colston, Angie; Bottieau, Emmanuel; Speybroeck, Niko; Ketzis, Jennifer; Willingham, Arve Lee; Trevisan, Chiara</t>
  </si>
  <si>
    <t>Fastl, Christina; Devleesschauwer, Brecht; van Cauteren, Dieter; Lajot, Adrien; Leroy, Mathias; Laisnez, Valeska; Schirvel, Carole; Mahieu, Romain; Pierard, Denis; Michel, Charlotte; Jacquinet, Stéphanie</t>
  </si>
  <si>
    <t>Modelling for Taenia solium control strategies beyond 2020</t>
  </si>
  <si>
    <t>10.1111/myc.13063</t>
  </si>
  <si>
    <t>Epidemiology and surveillance of human (neuro)cysticercosis in Europe: is enhanced surveillance required?</t>
  </si>
  <si>
    <t>Abraham, Annette; Schmidt, Veronika; Kaminski, Miriam; Stelzle, Dominik; De Meijere, Robert; Bustos, Javier; Sahunm, Priyadarshi Soumyaranjan; Garcia, Hector Hugo; Bobić, Branko; Cretu, Carmen; Chiodini, Peter; Deksne, Gunita; Dermauw, Veronique; Devleesschauwer, Brecht; Dorny, Pierre; Fonseca, Ana; Gabriël, Sarah; Gómez Morales, Maria Ángeles; Kucsera, István, Laranjo‐González, Minerva; Trevisan, Chiara; Vilhena, Manuela; Walker, Naomi F; Zammarchi, Lorenzo; Winkler, Andrea Sylvia</t>
  </si>
  <si>
    <t>10.1111/tmi.13384</t>
  </si>
  <si>
    <t>10.2471/blt.19.238485</t>
  </si>
  <si>
    <t>Cuschieri, Sarah; Pallari, Elena; Terzic, Natasa; Alkerwi, Ala'a; Sigurvinsdottir, Rannveig; Sigfusdottir, Inga Dora; Devleesschauwer, Brecht</t>
  </si>
  <si>
    <t>Population vulnerability to COVID-19 in Europe: a burden of disease analysis</t>
  </si>
  <si>
    <t>Wyper, Grant MA; Assunção, Ricardo MA; Cuschieri, Sarah; Devleeschauwer, Brecht; Fletcher, Eilidh; Haagsma, Juanita A; Hilderink, Henk; Idavain, Jane; Lesnik, Tina; Von der Lippe, Elena; Majdan, Marek; Santric-Milicevic, Milena; Pallari, Elena; Peñalvo, José L; Pires, Sara M; Plass, Dietrich; Santos, João V; Stockton, Diane L; Thomsen, Sofie T; Grant, Ian</t>
  </si>
  <si>
    <t>10.1186/s13071-020-04095-1</t>
  </si>
  <si>
    <t>10.1186/s12874-020-00987-z</t>
  </si>
  <si>
    <t>Association between urban environment and mental health in Brussels, Belgium</t>
  </si>
  <si>
    <t>Pelgrims, Ingrid; Bastiaens, Hilde; Devleesschauwer, Brecht; Guyot, Madeleine; Keune, Hans; Nawrot, Tim S; Remmen, Roy; Saenen, Nelly; Trabelsi, Sonia; Thomas, Isabelle; De Clercq, Eva M</t>
  </si>
  <si>
    <t>Valuing the years of life lost due to COVID-19: the differences and pitfalls</t>
  </si>
  <si>
    <t>Devleesschauwer, Brecht; McDonald, Scott; Speybroeck, Niko; Wyper, Grant M A</t>
  </si>
  <si>
    <t>10.1186/s13690-020-00433-y</t>
  </si>
  <si>
    <t>Health expectancies in the European Union: same concept, different methods, different results</t>
  </si>
  <si>
    <t>Santos, João Vasco; Viana, João; Devleesschauwer, Brecht; Haagsma, Juanita; Costa-Santos, Cristina; Ricciardi, Walter; Freitas, Alberto</t>
  </si>
  <si>
    <t>Effects of ‘The Vicious Worm’ educational software on Taenia solium knowledge among key pork supply chain workers in Zambia</t>
  </si>
  <si>
    <t>Vaernewyck, Victor; Mwape, Kabemba Evans; Mubanga, Chishimba; Devleesschauwer, Brecht; Gabriël, Sarah; Trevisan, Chiara</t>
  </si>
  <si>
    <t>von der Lippe, Elena; Devleesschauwer, Brecht; Gourley, Michelle; Haagsma, Juanita; Hilderink, Henk; Porst, Michael; Wengler, Annelene; Wyper, Grant; Grant, Ian</t>
  </si>
  <si>
    <t>Belgian COVID-19 mortality, excess deaths, number of deaths per million, and infection fatality rates (8 March – 9 May 2020)</t>
  </si>
  <si>
    <t>Molenberghs, Geert; Faes, Christel; Aerts, Jan; Theeten, Heidi; Devleesschauwer, Brecht; Bustos Sierra, Natalia; Braeye, Toon; Renard, Françoise; Herzog, Sereina; Lusyne, Patrick; Van der Heyden, Johan; Van Oyen, Herman; Van Damme, Pierre; Hens, Niel</t>
  </si>
  <si>
    <t>Use of health care services by people with substance use disorders in Belgium: a register-based cohort study</t>
  </si>
  <si>
    <t>Van Baelen, Luk; Plettinckx, Els; Antoine, Jerome; De Ridder, Karin; Devleesschauwer, Brecht; Gremeaux, Lies</t>
  </si>
  <si>
    <t>10.1007/s00038-020-01430-2</t>
  </si>
  <si>
    <t>Engelen, Frederik; Thiry, Damien; Devleesschauwer, Brecht; Heyndrickx, Marc; Mainil, Jacques; De Zutter, Lieven; Cox, Eric</t>
  </si>
  <si>
    <t>Potential elimination of active Taenia solium transmission in Africa</t>
  </si>
  <si>
    <t xml:space="preserve"> 10.1056/NEJMc1909955</t>
  </si>
  <si>
    <t>Measuring disability-adjusted life years (DALYs) due to low back pain in Malta</t>
  </si>
  <si>
    <t>Cuschieri, Sarah; Wyper, Grant M A; Calleja, Neville; Gorasso, Vanessa; Devleesschauwer, Brecht</t>
  </si>
  <si>
    <t>10.1186/s13690-020-00451-w</t>
  </si>
  <si>
    <t>S2</t>
  </si>
  <si>
    <t>Integration of various dimensions in food-based dietary guidelines via mathematical approaches. Report of a DGE/FENS Workshop in Bonn, Germany, 23-24 September 2019</t>
  </si>
  <si>
    <t>Schäfer, Anne Carolin; Schmidt, Annemarie; Bechthold, Angela; Boeing, Heiner; Watzl, Bernhard; Darmon, Nicole; Devleesschauwer, Brecht; Heckelei, Thomas; Pires, Sara Monteiro; Nadaud, Perrine; van Dooren, Corné; Vieux, Florent</t>
  </si>
  <si>
    <t>British Journal of Nutrition</t>
  </si>
  <si>
    <t>Br. J. Nutr.</t>
  </si>
  <si>
    <t>BMJ Open</t>
  </si>
  <si>
    <t>Risk Metrics: Quantifying the Impact of Adverse Health Effects</t>
  </si>
  <si>
    <t>Devleesschauwer, Brecht; Pires, Sara Monteiro; Kowalcyk, Barbara B; Scharff, Robert L; Havelaar, Arie H; Speybroeck, Niko</t>
  </si>
  <si>
    <t>Pérez-Rodríguez, Fernando</t>
  </si>
  <si>
    <t>Risk Assessment Methods for Biological and Chemical Hazards in Food</t>
  </si>
  <si>
    <t>10.1186/s12889-020-09428-4</t>
  </si>
  <si>
    <t>The impact of multimorbidity patterns on health-related quality of life in the general population: results of the Belgian Health Interview Survey</t>
  </si>
  <si>
    <t>e037131</t>
  </si>
  <si>
    <t>10.1136/bmjopen-2020-037131</t>
  </si>
  <si>
    <t>Schatting van de incidentie van de klinische manifestaties van Lyme borreliose in Vlaanderen op basis van primaire surveillancegegevens en een meta-analyse, 2015-2017</t>
  </si>
  <si>
    <t>Vlaams Infectieziektenbulletin</t>
  </si>
  <si>
    <t>Food Science &amp; Law</t>
  </si>
  <si>
    <t>Food Sci. Law</t>
  </si>
  <si>
    <t>Welke voedingsmiddelen hebben de grootste impact op de volksgezondheid in België?</t>
  </si>
  <si>
    <t>Devleesschauwer, Brecht; De Backer, Guy</t>
  </si>
  <si>
    <t>10.1186/s13690-020-00470-7</t>
  </si>
  <si>
    <t>The burden of legionnaires’ disease in Belgium, 2013 to 2017</t>
  </si>
  <si>
    <t>10.1371/journal.pntd.0008790</t>
  </si>
  <si>
    <t>Burden of disease methods: a guide to calculate COVID-19 disability-adjusted life years</t>
  </si>
  <si>
    <t>Wyper, Grant M A; Assunçao, Ricardo M A; Colzani, Edoardo; Grant, Ian; Haagsma, Juanita A; Lagerweij, Giske; Von der Lippe, Elena; McDonald, Scott A; Pires, Sara M; Porst, Michael; Speybroeck, Niko; Devleesschauwer, Brecht</t>
  </si>
  <si>
    <t>Pathogenic potential of Escherichia coli O157 and O26 isolated from young Belgian dairy calves by recto-anal mucosal swab culturing</t>
  </si>
  <si>
    <t>Journal of Applied Microbiology</t>
  </si>
  <si>
    <t>J. Appl. Microbiol.</t>
  </si>
  <si>
    <t>10.1111/jam.14909</t>
  </si>
  <si>
    <t>10.1016/S1473-3099(20)30493-X</t>
  </si>
  <si>
    <t>Identification of Shigatoxigenic and enteropathogenic Escherichia coli serotypes in healthy young dairy calves in Belgium by recto-anal mucosal swabbing</t>
  </si>
  <si>
    <t>Vet. Sci.</t>
  </si>
  <si>
    <t>Habets, Audrey; Engelen, Frederik; Duprez, Jean-Noel; Devleesschauwer, Brecht; Heyndrickx, Marc; De Zutter, Lieven; Thiry, Damien; Cox, Eric; Mainil, Jacques</t>
  </si>
  <si>
    <t>10.3390/vetsci7040167</t>
  </si>
  <si>
    <t xml:space="preserve"> e0008790</t>
  </si>
  <si>
    <t>10.1201/9780429083525-4</t>
  </si>
  <si>
    <t>10.1017/S0007114520004857</t>
  </si>
  <si>
    <t>Occurrence of 'gang of five' Shiga toxin‐producing Escherichia coli (STEC) serogroups on Belgian dairy cattle farms by overshoe sampling</t>
  </si>
  <si>
    <t>Engelen, Frederik; Thiry, Damien; Devleesschauwer, Brecht; Mainil, Jacques; De Zutter, Lieven; Cox, Eric</t>
  </si>
  <si>
    <t>Letters in Applied Microbiology</t>
  </si>
  <si>
    <t>Lett. Appl. Microbiol.</t>
  </si>
  <si>
    <t>10.1111/lam.13434</t>
  </si>
  <si>
    <t>Burden of foodborne diseases: think global, act local</t>
  </si>
  <si>
    <t>Current Opinion in Food Science</t>
  </si>
  <si>
    <t>Curr. Opin. Food Sci.</t>
  </si>
  <si>
    <t>Pires, Sara Monteiro; Desta, Binyam N; Mughini-Gras, Lapo; Mmbaga, Blandina T; Fayemi, Olanrewaju E; Salvador, Elsa Maria; Gobena, Tesfaye; Majowicz, Shannon E; Hald, Tine M; Hoejskov, Peter S; Minato, Yuki; Devleesschauwer, Brecht</t>
  </si>
  <si>
    <t>Infection, Genetics and Evolution</t>
  </si>
  <si>
    <t>Infect. Genet. Evol.</t>
  </si>
  <si>
    <t>Brusselmans, Judith; De Sutter, An; Devleesschauwer, Brecht; Verstraelen, Hans; Cools, Piet</t>
  </si>
  <si>
    <t>Assessment of the diagnostic accuracy and relevance of a novel ELISA system developed for seroepidemiologic surveys of Helicobacter pylori infection in African settings</t>
  </si>
  <si>
    <t>10.1186/s13690-020-00519-7</t>
  </si>
  <si>
    <t>Evaluation of the added value of viral genomic information for predicting severity of influenza infection</t>
  </si>
  <si>
    <t>Van Goethem, Nina; Robert, Annie; Bossuyt, Nathalie; Van Poelvoorde, Laura; Quoilin, Sophie; De Keersmaecker, Sigrid C. J.; Devleesschauwer, Brecht; Thomas, Isabelle; Vanneste, Kevin; Roosens, Nancy H. C.; Van Oyen, Herman</t>
  </si>
  <si>
    <t>Reflections on key methodological decisions in national burden of disease assessments</t>
  </si>
  <si>
    <t>10.1136/jech-2020-213791</t>
  </si>
  <si>
    <t>Rushton, Jonathan; Huntington, Ben; Gilbert, William; Herrero, Mario; Torgerson, Paul R; Shaw, Alexandra P M; Bruce, Mieghan; Marsh, Tom L; Pendell, Dustin L; Bernardo, Theresa M; Stacey, Deborah; Grace, Delia; Watkins, Kevin; Bondad-Reantaso, Melba; Devleesschauwer, Brecht; Pigott, David M; Stone, Matthew; Mesenhowski, Shannon</t>
  </si>
  <si>
    <t>The Lancet</t>
  </si>
  <si>
    <t>Lancet</t>
  </si>
  <si>
    <t>Van Wilder, Lisa; Charafeddine, Rana; Beutels, Philippe; Bruyndonckx, Robin; Cleemput, Irina; Demarest, Stefaan; De Smedt, Delphine; Hens, Niel; Scohy, Aline; Speybroeck, Niko; Van der Heyden, Johan; Yokota, Renata T C; Van Oyen, Herman; Bilcke, Joke; Devleesschauwer, Brecht</t>
  </si>
  <si>
    <t>10.1016/j.cofs.2021.01.006</t>
  </si>
  <si>
    <t>Roll-out of the Global Burden of Animal Diseases programme</t>
  </si>
  <si>
    <t>10.1016/S0140-6736(21)00189-6</t>
  </si>
  <si>
    <t>Assessing polypharmacy in the older population: comparison of a self-reported and prescription based method</t>
  </si>
  <si>
    <t>Pharmacoepidemiology and Drug Safety</t>
  </si>
  <si>
    <t>Pharmacoepidemiol. Drug Saf.</t>
  </si>
  <si>
    <t>Van der Heyden, Johan; Berete, Finaba; Renard, Françoise; Vanoverloop, Johan; Devleesschauwer, Brecht; De Ridder, Karin; Bruyère, Olivier</t>
  </si>
  <si>
    <t>Pires, Sara Monteiro; Devleesschauwer, Brecht</t>
  </si>
  <si>
    <t>Santos, João Vasco; Gorasso, Vanessa; Souza, Júlio; Wyper, Grant M A; Grant, Ian; Pinheiro, Vera; Viana, João; Ricciardi, Walter; Haagsma, Juanita A; Devleesschauwer, Brecht; Plass, Dietrich; Freitas, Alberto</t>
  </si>
  <si>
    <t>Risk factors and their contribution to population health in the European Union (EU-28) countries in 2007 and 2017</t>
  </si>
  <si>
    <t>Foodborne Infections and Intoxications, 5th ed.</t>
  </si>
  <si>
    <t>Morris, J. Glenn Jr.; Vugia, Duc</t>
  </si>
  <si>
    <t>Scandinavian Journal of Public Health</t>
  </si>
  <si>
    <t>The increasing significance of disease severity</t>
  </si>
  <si>
    <t>Wyper, Grant; Assunçao, Ricardo; Fletcher, Eilidh; Gourley, Michelle; Grant, Ian; Haagsma, Juanita; Hilderink, Henk; Idavain, Jane; Lesnik, Tina; von der Lippe, Elena; Majdan, Marek; McCartney, Gerry; Pallari, Elena; Pires, Sara; Plass, Dietrich; Porst, Michael; Santos, João; Santric-Milicevic, Milena; de Haro Moro, Maria Teresa; Stockton, Diane; Devleesschauwer, Brecht</t>
  </si>
  <si>
    <t>Scand. J. Public Health</t>
  </si>
  <si>
    <t>Recommendations to plan a national Burden of Disease study</t>
  </si>
  <si>
    <t>Haneef, Romana; Schmidt, Jürgen; Gallay, Anne; Devleesschauwer, Brecht; Grant, Ian; Rommel, Alexander; Wyper, Grant M A; Van Oyen, Herman; Hilderink, Henk; Ziese, Thomas; Newton, John</t>
  </si>
  <si>
    <t>10.3389/ijph.2021.619011</t>
  </si>
  <si>
    <t>Renard, Françoise; Scohy, Aline; Van der Heyden, Johan; Peeters, Ilse; Dequeker, Sara; Vandael, Eline; Van Goethem, Nina; Dubourg, Dominique; De Viron, Louise; Kongs, Anne; Hammami, Naïma; Devleesschauwer, Brecht; Sasse, André; Rebolledo Gonzalez, Javiera; Bustos Sierra, Natalia</t>
  </si>
  <si>
    <t>10279</t>
  </si>
  <si>
    <t>E82</t>
  </si>
  <si>
    <t>E92</t>
  </si>
  <si>
    <t>Measuring the direct population impact of COVID-19 in Scotland, 2020: estimating disability-adjusted life years (DALYs) during the first full calendar year</t>
  </si>
  <si>
    <t>Wyper, Grant M A; Fletcher, Eilidh; Grant, Ian; McCartney, Gerry; Fischbacher, Colin; Harding, Oliver; Jones, Hannah; de Haro Moro, Maria Teresa; Speybroeck, Niko; Devleesschauwer, Brecht; Stockton, Diane L</t>
  </si>
  <si>
    <t>Van Wilder, Lisa; Devleesschauwer, Brecht; Clays, Els; De Buyser, Stefanie; Van der Heyden, Johan; Charafeddine, Rana; Boeckxstaens, Pauline; De Bacquer, Dirk; Vandepitte, Sophie; De Smedt, Delphine</t>
  </si>
  <si>
    <t>10.1186/s12889-021-10557-7</t>
  </si>
  <si>
    <t>Living with a chronic disease: insights from patients with a low socioeconomic status</t>
  </si>
  <si>
    <t>Van Wilder, Lisa; Pype, Peter; Mertens, Fien; Rammant, Elke; Clays, Els; Devleesschauwer, Brecht; Boeckxstaens, Pauline; De Smedt, Delphine</t>
  </si>
  <si>
    <t>Consumer and food product determinants of food wasting – a case study on chicken meat</t>
  </si>
  <si>
    <t>Cooreman-Algoed, Margot; Minnens, Fien; Boone, Lieselot; Botterman, Kyara; Taelman, Sue Ellen; Verbeke, Wim; Devleesschauwer, Brecht; Hung, Yung; Dewulf, Jo</t>
  </si>
  <si>
    <t>10.1186/s13690-021-00599-z</t>
  </si>
  <si>
    <t>Conducting national burden of disease studies in small countries in Europe– a feasible challenge?</t>
  </si>
  <si>
    <t>Global Burden of Animal Disease: a novel approach to understanding and managing disease in livestock and aquaculture. Why is it needed, what is its theoretical basis and what will it contribute?</t>
  </si>
  <si>
    <t>Huntington, Ben; Bernardo, Theresa M; Bruce, Mieghan; Devleesschauwer, Brecht; Gilbert, William; Havelaar, Arie; Herrero, Mario; Marsh, Thomas L; Mesenhowski, Shannon; Pendell, Dustin; Pigott, David; Grace, Delia; Bondad-Reantaso, Melba; Shaw, Alexandra P; Stacey, Deborah; Stone, Matthew; Torgerson, Paul; Watkins, Kevin; Wieland, Barbara; Rushton, Jonathan</t>
  </si>
  <si>
    <t>Rev. Sci. Tech.</t>
  </si>
  <si>
    <t>Revue Scientifique et Technique (International Office of Epizootics)</t>
  </si>
  <si>
    <t>Care-seeking behaviour and socio-economic burden associated with uncomplicated malaria in the Democratic Republic of Congo</t>
  </si>
  <si>
    <t>Kayiba Kalenda, Nadine; Yobi, Doudou Malekita; Devleesschauwer, Brecht; Mvumbi, Dieudonné Makaba; Kabututu, Pius Zakayi; Losimba, Joris Likwela; Azama, Lydie Kalindula; De Mol, Patrick; Hayette, Marrie-Pièrre; Mvumbi, Georges Lelo; Dikassa, Paul Lusamba; Beutels, Philippe; Rosas-Aguirre, Angel; Speybroeck, Niko</t>
  </si>
  <si>
    <t>10.1186/s12936-021-03789-w</t>
  </si>
  <si>
    <t>Estimating the direct Covid-19 disability-adjusted life years impact on the Malta population for the first full year</t>
  </si>
  <si>
    <t>Cuschieri, Sarah; Calleja, Neville; Devleesschauwer, Brecht; Wyper, Grant M A</t>
  </si>
  <si>
    <t>Sustainability</t>
  </si>
  <si>
    <t>10.3390/su13137027</t>
  </si>
  <si>
    <t>10.1186/s13690-021-00620-5</t>
  </si>
  <si>
    <t>Burden of non-communicable disease studies in Europe: a systematic review of data sources and methodological choices</t>
  </si>
  <si>
    <t>Charalampous, Periklis; Gorasso, Vanessa; Plass, Dietrich; Pires, Sara M; von der Lippe, Elena; Mereke, Alibek; Idavain, Jane; Kissimova-Skarbek, Katarzyna; Nazaré Morgado, Joana; Ngwa, Che Henry; Noguer, Isabel; Padron-Monedero, Alicia; Santi-Cano, María José; Sarmiento, Rodrigo; Devleesschauwer, Brecht; Haagsma, Juanita A; The COST Action CA18218 participants</t>
  </si>
  <si>
    <t>10.1002/pds.5321</t>
  </si>
  <si>
    <t>10.1016/B978-0-12-819519-2.00020-7</t>
  </si>
  <si>
    <t xml:space="preserve">10.1177/14034948211024478 </t>
  </si>
  <si>
    <t>Evaluation of the usefulness of intermittent preventive treatment of malaria in pregnancy with sulfadoxine-pyrimethamine in a context with increased resistance of Plasmodium falciparum in Kingasani Hospital, Kinshasa in the Democratic Republic of Congo</t>
  </si>
  <si>
    <t>Unravelling data for rapid evidence-based response to COVID-19: A summary of the unCoVer protocol</t>
  </si>
  <si>
    <t>10.1016/j.meegid.2021.105009</t>
  </si>
  <si>
    <t>The non-fatal burden of cancer in Belgium, 2004–2018</t>
  </si>
  <si>
    <t>BMC Cancer</t>
  </si>
  <si>
    <t>Gorasso, Vanessa; Silversmit, Geert; Arbyn, Marc; Cornez, Astrid; De Pauw, Robby; De Smedt, Delphine; Grant, Ian; Wyper, Grant M; Devleesschauwer, Brecht; Speybroeck, Niko</t>
  </si>
  <si>
    <t>Burden of non-communicable diseases in Cyprus, 1990–2017: findings from the Global Burden of Disease 2017 study</t>
  </si>
  <si>
    <t>Charalampous, Periklis; Pallari, Elena; Tyrovolas, Stefanos; Middleton, Nicos; Economou, Mary; Devleesschauwer, Brecht; Haagsma, Juanita A</t>
  </si>
  <si>
    <t>10.1186/s13690-021-00655-8</t>
  </si>
  <si>
    <t>Kayiba, Nadine Kalende; Yobi, Doudou Malekita; Kouoneyou, Vanessa Rodanis Tchakounang; Mvumbi, Dieudonné Makaba; Kabututu, Pius Zakayi; Devleesschauwer, Brecht; Sompwe, Erick Mukomena; De Mol, Patrick; Hayette, Marie-Pierre; Mvumbi, Georges Lelo; Rosas-Aguirre, Angel; Dikassa, Paul Lusamba; Speybroeck, Niko</t>
  </si>
  <si>
    <t>Belgian population norms for the EQ-5D-5L, 2018</t>
  </si>
  <si>
    <t>10.1186/s12879-021-06510-z</t>
  </si>
  <si>
    <t>Burden of disease of dietary exposure to four chemical contaminants in Denmark in 2019</t>
  </si>
  <si>
    <t>Pires, Sara M; Thomsen, Sofie T; Jakobsen, Lea S; Redondo, Hernan G; Outzen, Malene; Fagt, Sisse; Devleesschauwer, Brecht; Hansen, Max; Fabricius, Freja A</t>
  </si>
  <si>
    <t>Exposure and Health</t>
  </si>
  <si>
    <t>Expo. Health</t>
  </si>
  <si>
    <t>10.1007/s11136-021-02971-6</t>
  </si>
  <si>
    <t>QALY losses for chronic diseases and its social distribution in the general population: results from the Belgian Health Interview Survey</t>
  </si>
  <si>
    <t>Van Wilder, Lisa; Devleesschauwer, Brecht; Clays, Els; Van der Heyden, Johan; Charafeddine, Rana; Scohy, Aline; De Smedt, Delphine</t>
  </si>
  <si>
    <t>Disability-adjusted life years (DALYs) due to the direct health impact of COVID-19 in India, 2020</t>
  </si>
  <si>
    <t>Singh, Balbir B; Devleesschauwer, Brecht; Khatkar, Mehar S; Lowerison, Mark; Singh, Baljit; Dhand, Navneet K; Barkema, Herman W</t>
  </si>
  <si>
    <t>10.1093/eurpub/ckab145</t>
  </si>
  <si>
    <t>10.1007/s11136-021-02951-w</t>
  </si>
  <si>
    <t>Health care costs and lost productivity costs related to excess weight in Belgium</t>
  </si>
  <si>
    <t>Gorasso, Vanessa; Moyersoen, Isabelle; Van der Heyden, Johan; De Ridder, Karin; Vandevijvere, Stefanie; Vansteelandt, Stijn; De Smedt, Delphine; Devleesschauwer, Brecht</t>
  </si>
  <si>
    <t>10.1371/journal.pntd.0009763</t>
  </si>
  <si>
    <t>e0009763</t>
  </si>
  <si>
    <t>Tshibangu-Kabamba, Evariste; Phuc, Bui Hoang; Tuan, Vo Phuc; Fauzia, Kartika Afrida; Kabongo-Tshibaka, Augustin; Kalenda, Nadine Kayiba; Rosas-Aguirre, Angel; Devleesschauwer, Brecht; Cimuanga-Mukanya, Alain; de Jésus Ngoma Kisoko, Patrick; Matsumoto, Takeshi; Akada, Junko; Disashi, Ghislain Tumba; Ngoyi, Dieudonné Mumba; Kido, Yasutoshi; Speybroeck, Niko; Yamaoka, Yoshio</t>
  </si>
  <si>
    <t>Janssens, Heidi; Heytens, Stefan; Meyers, Eline; Deschepper, Ellen; De Sutter, An; Devleesschauwer, Brecht; Formukong, Asangwing; Keirse, Sara; Padalko, Elizaveta; Geens, Tom; Cools, Piet</t>
  </si>
  <si>
    <t xml:space="preserve">10.20506/rst.40.2.3246 </t>
  </si>
  <si>
    <t>Cost–DALY comparison of hip replacement care in 12 Belgian hospitals</t>
  </si>
  <si>
    <t>BMJ Open Quality</t>
  </si>
  <si>
    <t>e001263</t>
  </si>
  <si>
    <t>10.1136/bmjoq-2020-001263</t>
  </si>
  <si>
    <t>Dehanne, Fabian; Gourdin, Maximilien; Devleesschauwer, Brecht; Bihin, Benoit; Van Wilder, Philippe; Mareschal, Bertrand; Leclercq, Pol; Pirson, Magali</t>
  </si>
  <si>
    <t>BMJ Open Qual.</t>
  </si>
  <si>
    <t>Non-specific symptoms and post-treatment Lyme disease syndrome in patients with Lyme borreliosis: a prospective cohort study in Belgium (2016-2020)</t>
  </si>
  <si>
    <t>Geebelen, Laurence; Lernout, Tinne; Devleesschauwer, Brecht; Kabamba-Mukadi, Benoît; Saegeman, Veroniek; De Munter, Paul; Dubois, Bénédicte; Westhoven, Rene; Humtick hospital group; Van Oyen, Herman; Speybroeck, Niko; Tersago, Katrien</t>
  </si>
  <si>
    <t>Estimating risk factor attributable burden – challenges and potential solutions when using the comparative risk assessment methodology</t>
  </si>
  <si>
    <t>Plass, Dietrich; Hilderink, Henk; Lehtomäki, Heli; Øverland, Simon; Eikemo, Terje Andreas; Lai, Taavi; Gorasso, Vanessa; Devleesschauwer, Brecht</t>
  </si>
  <si>
    <t>10.1186/s12889-021-11893-4</t>
  </si>
  <si>
    <t>COVID-19 cases, hospitalizations and deaths in Belgian nursing homes: results of a surveillance conducted between April and December 2020</t>
  </si>
  <si>
    <t>Vandael, Eline; Latour, Katrien; Islamaj, Esma; Int Panis, Laura; Callies, Milena; Haarhuis, Freek; Proesmans, Kristiaan; Devleesschauwer, Brecht; Rebolledo Gonzalez, Javiera; Hannecart, Alice; Mahieu, Romain; de Viron, Louise; De Clercq, Etienne; Kongs, Anne; Hammami, Naïma; François, Jean-Marc; Dubourg, Dominique; Henz, Sarah; Catry, Boudewijn; Dequeker, Sara</t>
  </si>
  <si>
    <t>BMC Family Practice</t>
  </si>
  <si>
    <t>BMC Fam. Pract.</t>
  </si>
  <si>
    <t>The state of health in Belgium, 1990–2019: A benchmarking analysis based on the Global Burden of Disease 2019 study</t>
  </si>
  <si>
    <t>Systematic Reviews</t>
  </si>
  <si>
    <t>Ghattas, Jinane; Gorasso, Vanessa; De Pauw, Robby; Thunus, Sophie; Speybroeck, Niko; Devleesschauwer, Brecht</t>
  </si>
  <si>
    <t>Fasciola spp. in Southeast Asia: A systematic review and meta-analysis protocol</t>
  </si>
  <si>
    <t>Quang, Vinh Hoang; Levecke, Bruno; Trung, Dung Do; Devleesschauwer, Brecht; Lam, Binh Vu Thi; Polman, Katja; Callens, Steven; Dorny, Pierre; Dermauw, Veronique</t>
  </si>
  <si>
    <t>Syst. Rev.</t>
  </si>
  <si>
    <t>10.1186/s13690-021-00652-x</t>
  </si>
  <si>
    <t>10.1186/s12875-021-01578-7</t>
  </si>
  <si>
    <t>e055630</t>
  </si>
  <si>
    <t>10.1136/bmjopen-2021-055630</t>
  </si>
  <si>
    <t>Peñalvo, José Luis; Mertens, Elly; Ademović, Enisa; Akgun, Seval; Baltazar, Ana Lúcia; Buonfrate, Dora; Čoklo, Miran; Devleesschauwer, Brecht; Diaz Valencia, Paula Andrea; Fernandes, João C; Gómez, Enrique Javier; Hynds, Paul; Kabir, Zubair; Klein, Jörn; Kostoulas, Polychronis; Llanos Jiménez, Lucía; Lotrean, Lucia Maria; Majdan, Marek; Menasalvas, Ernestina; Nguewa, Paul; Oh, In-Hwan; O’Sullivan, Georgie; Pereira, David M.; Reina Ortiz, Miguel; Riva, Silvia; Soriano, Gloria; Soriano, Joan B.; Spilki, Fernando; Tamang, Mary Elizabeth; Trofor, Antigona Carmen; Vaillant, Michel; Van Ierssel, Sabrina; Vuković, Jakov; Castellano, José M.; on behalf of the unCoVer network</t>
  </si>
  <si>
    <t>Human health and economic impact of neurocysticercosis in Uganda</t>
  </si>
  <si>
    <t>Dupont, Fabian; Trevisan, Chiara; Kaducu, Joyce Moriku; Ovuga, Emilio; Schmidt, Veronika; Winkler, Andrea S; Devleesschauwer, Brecht</t>
  </si>
  <si>
    <t>Establishing an ad hoc COVID-19 mortality surveillance during the first epidemic wave in Belgium, 1 March to 21 June 2020</t>
  </si>
  <si>
    <t>48</t>
  </si>
  <si>
    <t>pii=2001402</t>
  </si>
  <si>
    <t>10.2807/1560-7917.ES.2021.26.48.2001402</t>
  </si>
  <si>
    <t>The association between area deprivation and COVID-19 incidence: a municipality-level spatio-temporal study in Belgium, 2020-2021</t>
  </si>
  <si>
    <t>Meurisse, Marjan; Lajot, Adrien; Devleesschauwer, Brecht; Van Cauteren, Dieter; Van Oyen, Herman; Van den Borre, Laura; Brondeel, Ruben</t>
  </si>
  <si>
    <t>10.1111/tmi.13703</t>
  </si>
  <si>
    <t>Methodological considerations in injury burden of disease studies across Europe: a systematic literature review</t>
  </si>
  <si>
    <t>Charalampous, Periklis; Pallari, Elena; Gorasso, Vanessa; von der Lippe, Elena; Devleesschauwer, Brecht; Pires, Sara M.; Plass, Dietrich; Idavain, Jane; Ngwa, Che Henry; Noguer, Isabel; Padron-Monedero, Alicia; Sarmiento, Rodrigo; Majdan, Marek; Polinder, Suzanne; Haagsma, Juanita A.</t>
  </si>
  <si>
    <t>Assessing the burden of Taenia solium cysticercosis in Burundi, 2020</t>
  </si>
  <si>
    <t>Minani, Salvator; Devleesschauwer, Brecht; Gasogo, Anastasie; Ntirandekura, Jean-Bosco; Gabriël, Sarah; Dorny, Pierre; Trevisan, Chiara</t>
  </si>
  <si>
    <t>Estimating the direct Disability-Adjusted Life Years (DALYs) associated with SARS-CoV-2 (COVID-19) in the Republic of Ireland: The first full year</t>
  </si>
  <si>
    <t>Inequalities in mortality associated with housing conditions in Belgium between 1991 and 2020</t>
  </si>
  <si>
    <t>Otavova, Martina; Faes, Christel; Bouland, Catherine; De Clercq, Eva; Vandeninden, Bram; Eggerickx, Thierry; Sanderson, Jean-Paul; Devleesschauwer, Brecht; Masquelier, Bruno</t>
  </si>
  <si>
    <t>Taenia solium Cysticercosis/Taeniosis in Europe and Central Asia</t>
  </si>
  <si>
    <t>Trevisan, Chiara; Gabriël, Sarah; Dorny, Pierre; Devleesschauwer, Brecht</t>
  </si>
  <si>
    <t>Steinmann, Peter; Utzinger, Jürg</t>
  </si>
  <si>
    <t>Neglected Tropical Diseases - Europe and Central Asia</t>
  </si>
  <si>
    <t>10.1007/978-3-030-84224-6_4</t>
  </si>
  <si>
    <t>Estimates of Global Disease Burden Associated with Foodborne Pathogens</t>
  </si>
  <si>
    <t>10.1093/eurpub/ckab218</t>
  </si>
  <si>
    <t>Healthcare-associated infections and antimicrobial use in Belgian nursing homes: Results of three point prevalence surveys between 2010 and 2016</t>
  </si>
  <si>
    <t>Latour, Katrien; Catry, Boudewijn; Devleesschauwer, Brecht; Buntinx, Frank; De Lepeleire, Jan; Jans, Béatrice</t>
  </si>
  <si>
    <t>10.1186/s12885-021-09109-4</t>
  </si>
  <si>
    <t>10.1007/s12403-022-00461-9</t>
  </si>
  <si>
    <t>Lyme borreliosis in Belgium: a cost-of-illness analysis</t>
  </si>
  <si>
    <t>Past, present, and future trends of overweight and obesity in Belgium using Bayesian age-period-cohort models</t>
  </si>
  <si>
    <t>De Pauw, Robby; Claessens, Manu; Gorasso, Vanessa; Drieskens, Sabine; Faes, Christel; Devleesschauwer, Brecht</t>
  </si>
  <si>
    <t>Geebelen, Laurence; Devleesschauwer, Brecht; Lernout, Tinne; Tersago, Katrien; Parmentier, Yves; Van Oyen, Herman; Speybroeck, Niko; Beutels, Philippe</t>
  </si>
  <si>
    <t>10.1186/s13690-022-00794-6</t>
  </si>
  <si>
    <t>Variation in smoking attributable all-cause mortality across municipalities in Belgium, 2018: application of a Bayesian approach for small area estimations</t>
  </si>
  <si>
    <t>Putrik, Polina; Otavova, Martina; Faes, Christel; Devleesschauwer, Brecht</t>
  </si>
  <si>
    <t>Pre-vaccination SARS-CoV-2 seroprevalence among staff and residents of nursing homes in Flanders (Belgium) in fall 2020</t>
  </si>
  <si>
    <t>10.1186/s13690-022-00818-1</t>
  </si>
  <si>
    <t>10.1038/s41598-022-06505-z</t>
  </si>
  <si>
    <t>10.2807/1560-7917.ES.2022.27.7.2002060</t>
  </si>
  <si>
    <t>pii=2002060</t>
  </si>
  <si>
    <t>Validity of self-reported air pollution annoyance to assess long-term exposure to air pollutants in Belgium</t>
  </si>
  <si>
    <t>Pelgrims, Ingrid; Devleesschauwer, Brecht; Keune, Hans; Nawrot, Tim S; Remmen, Roy; Saenen, Nelly D; Thomas, Isabelle; Gorasso, Vanessa; Van der Heyden, Johan; De Smedt, Delphine; De Clercq, Eva M</t>
  </si>
  <si>
    <t>10.1016/j.envres.2022.113014</t>
  </si>
  <si>
    <t>Ceulemans, Tobias; Verscheure, Paulien; Shadouh, Caroline; Van Acker, Kasper; Devleesschauwer, Brecht; Linard, Catherine; Dendoncker, Nicolas; Speybroeck, Niko; Bruffaerts, Nicolas; Honnay, Olivier; Schrijvers, Rik; Aerts, Raf</t>
  </si>
  <si>
    <t>doi_preprint</t>
  </si>
  <si>
    <t>10.1017/S095026882200036X</t>
  </si>
  <si>
    <t>A scoping review of burden of disease studies estimating disability-adjusted life years due to Taenia solium</t>
  </si>
  <si>
    <t>Larkins, Andrew; Bruce, Mieghan; Di Bari, Carlotta; Devleesschauwer, Brecht; Pigott, David M; Ash, Amanda</t>
  </si>
  <si>
    <t>BMC Women's Health</t>
  </si>
  <si>
    <t>BMC Womens Health</t>
  </si>
  <si>
    <t>10.1186/s13690-022-00862-x</t>
  </si>
  <si>
    <t>Makovski, Tatjana; Ghattas, Jinane; Monnier-Besnard, Stephanie; Ambrozova, Monika; Vasinova, Barbora; Santos, Rodrigo; Bezzegh, Peter; Ponce, Felipe; Cottam, James; Haneef, Romana; Devleesschauwer, Brecht; Speybroeck, Niko; Noguera, Paulo; Forjaz, Joao; Coste, Joel; Carcaillon-Bentata, Laure</t>
  </si>
  <si>
    <t>10.1186/s13690-022-00856-9</t>
  </si>
  <si>
    <t>e65</t>
  </si>
  <si>
    <t>Changes in Quality-Adjusted Life Expectancy in Belgium, 2013 and 2018</t>
  </si>
  <si>
    <t>Scohy, Aline; Charafeddine, Rana; Van Wilder, Lisa; Van Oyen, Herman; De Smedt, Delphine; Devleesschauwer, Brecht</t>
  </si>
  <si>
    <t>Direct impact of COVID-19 by estimating disability-adjusted life years at national level in France in 2020</t>
  </si>
  <si>
    <t>Haneef, Romana; Fayad, Myriam; Fouillet, Anne; Sommen, Cécile; Bonaldi, Christophe; Wyper, Grant MA; Pires, Sara Monteiro; Devleesschauwer, Brecht; Rachas, Antoine; Constantinou, Panayotis; Levy-Bruhl, Daniel; Beltzer, Nathalie; Gallay, Anne</t>
  </si>
  <si>
    <t>Opportunities for a population-based cohort in Belgium</t>
  </si>
  <si>
    <t>Schutte, Nienke; Saelaert, Marlies; Bogaert, Petronille; De Ridder, Karin; Van Oyen, Herman; Van der Heyden, Johan; Devleesschauwer, Brecht</t>
  </si>
  <si>
    <t>Methodological choices in brucellosis burden of disease assessments: A systematic review</t>
  </si>
  <si>
    <t>Di Bari, Carlotta; Venkateswaran, Narmada; Bruce, Mieghan; Fastl, Christina; Huntington, Ben; Patterson, Grace T; Rushton, Jonathan; Torgerson, Paul; Pigott, David; Devleesschauwer, Brecht</t>
  </si>
  <si>
    <t>10.1186/s13690-022-00900-8</t>
  </si>
  <si>
    <t>Burden of Disease of Foodborne Chemicals</t>
  </si>
  <si>
    <t>Jakobsen, Lea Sletting; Devleesschauwer, Brecht; Pires, Sara Monteiro</t>
  </si>
  <si>
    <t>10.1016/B978-0-12-822521-9.00010-1</t>
  </si>
  <si>
    <t>Encyclopedia of Food Safety, 2nd ed.</t>
  </si>
  <si>
    <t>Moy, Gerald; Todd, Ewen</t>
  </si>
  <si>
    <t>Moran, Declan Patrick; Pires, Sara Montero; Wyper, Grant; Devleesschauwer, Brecht; Cuschieri, Sarah; Kabir, Zubair</t>
  </si>
  <si>
    <t>10.3389/ijph.2022.1604699</t>
  </si>
  <si>
    <t>Burden of disease of COVID-19: Strengthening the collaboration for national studies</t>
  </si>
  <si>
    <t>Pires, Sara Monteiro; Wyper, Grant M A; Wengler, Annelene; Peñalvo, José Luis; Haneef, Romana; Moran, Declan; Cuschieri, Sarah; Redondo, Hernan Gomez; De Pauw, Robby; McDonald, Scott A; Moon, Lynelle; Shedrawy, Jad; Pallari, Elena; Charalampous, Periklis; Devleesschauwer, Brecht; Von der Lippe, Elena</t>
  </si>
  <si>
    <t>Frontiers in Public Health</t>
  </si>
  <si>
    <t>Front. Public Health</t>
  </si>
  <si>
    <t>10.3389/fpubh.2022.907012</t>
  </si>
  <si>
    <t>Food Security</t>
  </si>
  <si>
    <t>The effectiveness of food system policies to improve nutrition, nutrition-related inequalities and environmental sustainability: A scoping review</t>
  </si>
  <si>
    <t>Burgaz, Celia; Gorasso, Vanessa; Achter, Wouter M J; Batis, Carolina; Castronuovo, Luciana; Diouf, Adama; Asiki, Gershim; Swinburn, Boyd A; Unar-Munguía, Mishel; Devleesschauwer, Brecht; Sacks, Gary; Vandevijvere, Stefanie</t>
  </si>
  <si>
    <t>Food Secur.</t>
  </si>
  <si>
    <t>10.1371/journal.pntd.0010567</t>
  </si>
  <si>
    <t>10.1186/s12889-022-13685-w</t>
  </si>
  <si>
    <t xml:space="preserve">10.1186/s12889-022-13675-y </t>
  </si>
  <si>
    <t>10.1186/s13643-022-02013-3</t>
  </si>
  <si>
    <t>e0010567</t>
  </si>
  <si>
    <t>Burden of foodborne disease due to bacterial hazards associated with beef, dairy, poultry meat and vegetables in Ethiopia and Burkina Faso, 2017</t>
  </si>
  <si>
    <t>Havelaar, Arie Hendrik; Sapp, Amanda; Amaya, Mirna P.; Nane, Gabriela F.; Morgan, Kara M.; Devleesschauwer, Brecht; Grace, Delia; Knight-Jones, Theo; Kowalcyk, Barbara B.</t>
  </si>
  <si>
    <t>The health and economic burden of musculoskeletal disorders in Belgium from 2013 to 2018</t>
  </si>
  <si>
    <t>Gorasso, Vanessa; Van der Heyden, Johan; De Pauw, Robby; Pelgrims, Ingrid; De Clercq, Eva; De Ridder, Karin; Vandevijvere, Stefanie; Vansteelandt, Stijn; Vaes, Bert; De Smedt, Delphine; Devleesschauwer, Brecht</t>
  </si>
  <si>
    <t>Iburg, Kim Moesgaard; Charalampous, Periklis; Allebeck, Peter; Stenberg, Elsa Jonsson; O'Caoimh, Rónán; Monasta, Lorenzo; Peñalvo, José Luis; Pereira, Davd M; Wyper, Grant M A; Niranjan, Vikram; Devleesschauwer, Brecht; Haagsma, Juanita</t>
  </si>
  <si>
    <t>Sociodemographic and socioeconomic disparities in COVID-19 vaccine uptake in Belgium - A nationwide record linkage study</t>
  </si>
  <si>
    <t>Cavillot, Lisa; van Loenhout, Joris A F; Devleesschauwer, Brecht; Wyndham-Thomas, Chloé; Van Oyen, Herman; Ghattas, Jinane; Blot, Koen; Van den Borre, Laura; Billuart, Matthieu; Speybroeck, Niko; De Pauw, Robby; Stouten, Veerle; Catteau, Lucy; Hubin, Pierre</t>
  </si>
  <si>
    <t>10.1186/s12889-022-13925-z</t>
  </si>
  <si>
    <t>Polypharmacy and health-related quality of life/psychological distress among patients with chronic disease</t>
  </si>
  <si>
    <t>Preventing Chronic Disease</t>
  </si>
  <si>
    <t>Prev. Chronic Dis.</t>
  </si>
  <si>
    <t>10.5888/pcd19.220062</t>
  </si>
  <si>
    <t>Van Wilder, Lisa; Devleesschauwer, Brecht; Clays, Els; Pype, Peter; Vandepitte, Sophie; De Smedt, Delphine</t>
  </si>
  <si>
    <t>Estimating Years of Life Lost due to COVID-19 over the first two years of the pandemic in Cyprus: comparisons across areas, age, and sex</t>
  </si>
  <si>
    <t>Charalampous, Periklis; Haagsma, Juanita A.; Cuschieri, Sarah; Devleesschauwer, Brecht; von der Lippe, Elena; Pires, Sara M.; Polinder, Suzanne; Wyper, Grant M.A.; Hatziyianni, Amalia; Pallari, Elena</t>
  </si>
  <si>
    <t>Pelgrims, Ingrid; Devleesschauwer, Brecht; Vandevijvere, Stefanie; De Clercq, Eva M; Vansteelandt, Stijn; Gorasso, Vanessa; Van der Heyden, Johan</t>
  </si>
  <si>
    <t>10.1186/s12889-022-14105-9</t>
  </si>
  <si>
    <t xml:space="preserve">10.1186/s12889-022-14067-y </t>
  </si>
  <si>
    <t>Psychosocial factors associated with health-related quality of life in patients with chronic disease: Results of a cross-sectional survey</t>
  </si>
  <si>
    <t>Van Wilder, Lisa; Vandepitte, Sophie; Clays, Els; Devleesschauwer, Brecht; Pype, Peter; Boeckxstaens, Pauline; Schrans, Diego; De Smedt, Delphine</t>
  </si>
  <si>
    <t>Chronic Illness</t>
  </si>
  <si>
    <t>Chronic Illn.</t>
  </si>
  <si>
    <t>Post COVID-19 condition and health-related quality of life: a longitudinal cohort study in the Belgian adult population</t>
  </si>
  <si>
    <t>Smith, Pierre; De Pauw, Robby; Van Cauteren, Dieter; Demarest, Stefaan; Drieskens, Sabine; Cornelissen, Laura; Devleesschauwer, Brecht; De Ridder, Karin; Charafeddine, Rana</t>
  </si>
  <si>
    <t>10.1186/s12879-022-07686-8</t>
  </si>
  <si>
    <t>10.1177/17423953221124313</t>
  </si>
  <si>
    <t>Clinical characteristics and management of neurocysticercosis patients: a retrospective assessment of case reports from Europe</t>
  </si>
  <si>
    <t>Stelzle, Dominik; Abraham, Annette; Kaminski, Miriam; Schmidt, Veronika; De Meijere, Robert; Bustos, Javier; Garcia, Hector Hugo; Soumyaranjan Sahu, Priyadarshi; Bobić, Branko; Cretu, Carmen; Chiodini, Peter; Dermauw, Veronique; Devleesschauwer, Brecht; Dorny, Pierre; Fonseca, Ana; Gabriël, Sarah; Gómez Morales, Maria Ángeles; Laranjo-González, Minerva; Hoerauf, Achim; Hunter, Ewan; Jambou, Ronan; Jurhar-Pavlova, Maja; Reiter-Owona, Ingrid; Sotiraki, Smaragda; Trevisan, Chiara; Vilhena, Manuela; Walker, Naomi F; Zammarchi, Lorenzo; Winkler, Andrea Sylvia</t>
  </si>
  <si>
    <t>Journal of Travel Medicine</t>
  </si>
  <si>
    <t>J. Travel Med.</t>
  </si>
  <si>
    <t>taac102</t>
  </si>
  <si>
    <t>10.1093/jtm/taac102</t>
  </si>
  <si>
    <t>10.1186/s13690-022-00976-2</t>
  </si>
  <si>
    <t>Social inequalities and long-term health impact of COVID-19 in Belgium: protocol of the HELICON population data linkage</t>
  </si>
  <si>
    <t>De Pauw, Robby; Van den Borre, Laura; Baeyens, Youri; Cavillot, Lisa; Gadeyne, Sylvie; Ghattas, Jinane; Desmedt, Delphine; Jamine, David; Khan, Yasmine; Lusyne, Patrick; Speybroeck, Niko; Racape, Judith; Rea, Andrea; Van Cauteren, Dieter; Vandepitte, Sophie; Vanthomme, Katrien; Devleesschauwer, Brecht</t>
  </si>
  <si>
    <t>10.3389/fsufs.2022.1024560</t>
  </si>
  <si>
    <t>Front. Sustain. Food Syst.</t>
  </si>
  <si>
    <t>Frontiers in Sustainable Food Systems</t>
  </si>
  <si>
    <t>Burden of infectious disease studies in Europe and the United Kingdom: a review of methodological design choices</t>
  </si>
  <si>
    <t>10.1186/s12879-022-07849-7</t>
  </si>
  <si>
    <t>10.1093/eurpub/ckac160</t>
  </si>
  <si>
    <t>e063573</t>
  </si>
  <si>
    <t>10.1136/bmjopen-2022-063573</t>
  </si>
  <si>
    <t>Aetiological and prognostic roles of frailty, multimorbidity and socioeconomic characteristics in the development of SARS-CoV-2 health outcomes: protocol for systematic reviews of population-based studies</t>
  </si>
  <si>
    <t>Evaluating the health and health economic impact of the COVID-19 pandemic on delayed cancer care in Belgium: A Markov model study protocol</t>
  </si>
  <si>
    <t>Khan, Yasmine; Verhaeghe, Nick; De Pauw, Robby; Devleesschauwer, Brecht; Gadeyne, Sylvie; Gorasso, Vanessa; Lievens, Yolande; Speybroeck, Niko; Vandamme, Nancy; Vandemaele, Miet; Van den Borre, Laura; Vandepitte, Sophie; Vanthomme, Katrien; Verdoodt, Freija; De Smedt, Delphine</t>
  </si>
  <si>
    <t xml:space="preserve">10.1186/s12889-022-14380-6 </t>
  </si>
  <si>
    <t>Muñoz Laguna, Javier; Puhan, Milo A; Rodríguez Artalejo, Fernando; De Pauw, Robby; Wyper, Grant M A; Devleesschauwer, Brecht; Santos, João Vasco; Hincapié, Cesar A</t>
  </si>
  <si>
    <t>Measuring small-area level deprivation in Belgium: the Belgian Index of Multiple Deprivation</t>
  </si>
  <si>
    <t>Spatial and Spatio-temporal Epidemiology</t>
  </si>
  <si>
    <t>Spat. Spatiotemporal Epidemiol.</t>
  </si>
  <si>
    <t>Di Bari, Carlotta; Venkateswaran, Narmada; Fastl, Christina; Gabriël, Sarah; Grace, Delia; Havelaar, Arie H.; Huntington, Ben; Patterson, Grace T.; Rushton, Jonathan; Speybroeck, Niko; Torgerson, Paul; Pigott, David M.; Devleesschauwer, Brecht</t>
  </si>
  <si>
    <t>The global burden of neglected zoonotic diseases: current state of evidence</t>
  </si>
  <si>
    <t>10.1186/s13690-022-01011-0</t>
  </si>
  <si>
    <t>Years of life lost methods must remain fully equitable and accountable</t>
  </si>
  <si>
    <t>Wyper, Grant M A; Devleesschauwer, Brecht; Mathers, Colin D; McDonald, Scott A; Speybroeck, Niko</t>
  </si>
  <si>
    <t>10.1007/s10654-022-00846-9</t>
  </si>
  <si>
    <t>An EU task force to assess the burden of rare diseases</t>
  </si>
  <si>
    <t>Nature Medicine</t>
  </si>
  <si>
    <t>Kolkhir, Pavel; Grad, Diana; Charalampous, Periklis; Oliveira, Claudia Cruz; Mechili, Enkeleint; Unim, Brigid; Pearce, David; Maurer, Marcus; Devleesschauwer, Brecht; Haagsma, Juanita</t>
  </si>
  <si>
    <t>Nat. Med.</t>
  </si>
  <si>
    <t>Burden of disease attributable to risk factors in European countries: a systematic literature review</t>
  </si>
  <si>
    <t>A proposal for further developing fatigue-related post COVID-19 health states for burden of disease studies</t>
  </si>
  <si>
    <t>Wyper, Grant M A; McDonald, Scott; Haagsma, Juanita A; Devleesschauwer, Brecht; Charalampous, Periklis; Maini, Rishma; Smith, Pierre; Pires, Sara Monteiro</t>
  </si>
  <si>
    <t>10.1186/s12889-022-14819-w</t>
  </si>
  <si>
    <t>10.1371/journal.pntd.0010468</t>
  </si>
  <si>
    <t>e0010468</t>
  </si>
  <si>
    <t>SURV</t>
  </si>
  <si>
    <t>DRUG</t>
  </si>
  <si>
    <t>NUTR</t>
  </si>
  <si>
    <t>EHIS</t>
  </si>
  <si>
    <t>X</t>
  </si>
  <si>
    <t>https://doi.org/10.1016/j.socscimed.2022.115595</t>
  </si>
  <si>
    <t>https://pubmed.ncbi.nlm.nih.gov/36495770/</t>
  </si>
  <si>
    <t>https://doi.org/10.3390/ijerph20010564</t>
  </si>
  <si>
    <t>https://pubmed.ncbi.nlm.nih.gov/36612884/</t>
  </si>
  <si>
    <t>https://doi.org/10.1002/nop2.1575</t>
  </si>
  <si>
    <t>https://pubmed.ncbi.nlm.nih.gov/36565163/</t>
  </si>
  <si>
    <t>No</t>
  </si>
  <si>
    <t>TITLE</t>
  </si>
  <si>
    <t>PMID</t>
  </si>
  <si>
    <t>SCI</t>
  </si>
  <si>
    <t>Environmental degradation and the increasing burden of allergic disease: the need to determine the impact of nitrogen pollution</t>
  </si>
  <si>
    <t>Frontiers in Allergy</t>
  </si>
  <si>
    <t>Front. Allergy</t>
  </si>
  <si>
    <t>Nayani, Sarah; Castañares, Diego; De Pauw, Robby; Van Cauteren, Dieter; Demarest, Stefaan; Drieskens, Sabine; Cornelissen, Laura; Devleesschauwer, Brecht; De Ridder, Karin; Charafeddine, Rana; Smith, Pierre</t>
  </si>
  <si>
    <t>https://doi.org/10.1017/s1368980023000058</t>
  </si>
  <si>
    <t>https://pubmed.ncbi.nlm.nih.gov/36644895/</t>
  </si>
  <si>
    <t>Charalampous, Periklis; Haagsma, Juanita A., Jakobsen, Lea S.; Gorasso, Vanessa; Noguer, Isabel; Padron-Monedero, Alicia; Sarmiento, Rodrigo; Santos, João Vasco; Assunção, Ricardo; McDonald,Scott A; von der Lippe, Elena; Plass, Dietrich; burden-eu members; Devleesschauwer, Brecht; Pires, Sara M.</t>
  </si>
  <si>
    <t>Yes</t>
  </si>
  <si>
    <t>e0280990</t>
  </si>
  <si>
    <t xml:space="preserve">10.1371/journal.pone.0280990 </t>
  </si>
  <si>
    <t>10.3389/falgy.2023.1063982</t>
  </si>
  <si>
    <t>10.1017/S0950268823000031</t>
  </si>
  <si>
    <t>10.1038/s41591-023-02207-9</t>
  </si>
  <si>
    <t>A systematic review of studies that estimated the burden of chronic non-communicable rare diseases using disability-adjusted life years</t>
  </si>
  <si>
    <t>Cruz Oliveira, Claudia; Charalampous, Periklis; Delaye, Julien; Grad, Diana Alecsandra; Kolkhir, Pavel; Mechili, Enkeleint A.; Unim, Brigid; Devleesschauwer, Brecht; Haagsma, Juanita A.</t>
  </si>
  <si>
    <t>Venkateswaran, Narmada; Swetschinski, Lucien R.; Fastl, Christina; Di Bari, Carlotta; Criscuolo, Nicola G.; Zhao, Cheng; Meštrović, Tomislav; Ikuta, Kevin S.; Martins, Sara Babo; Coyne, Lucy A.; Afonso, João Sucena; Huntington, Ben; Rushton, Jonathan; Devleesschauwer, Brecht; Naghavi, Mohsen; Sartorius, Benn; Van Boeckel, Thomas P.; Pigott, David M.</t>
  </si>
  <si>
    <t>e19</t>
  </si>
  <si>
    <t>Burden of disease among older adults in Europe-trends in mortality and disability, 1990-2019</t>
  </si>
  <si>
    <t>https://doi.org/10.1111/1747-0080.12800</t>
  </si>
  <si>
    <t>https://pubmed.ncbi.nlm.nih.gov/36843241/</t>
  </si>
  <si>
    <t xml:space="preserve">Challenges in Drug Surveillance: Strengthening the Analysis of New Psychoactive Substances by Harmonizing Drug Checking Services in Proficiency Testing </t>
  </si>
  <si>
    <t>https://doi.org/10.3390/ijerph20054628</t>
  </si>
  <si>
    <t>https://pubmed.ncbi.nlm.nih.gov/36901637/</t>
  </si>
  <si>
    <t>Impact of environmental nitrogen pollution on pollen allergy: a scoping review</t>
  </si>
  <si>
    <t>Sci. Total Environ.</t>
  </si>
  <si>
    <t>Science of the Total Environment</t>
  </si>
  <si>
    <t>Verscheure, Paulien; Honnay, Olivier; Speybroeck, Niko; Daelemans, Robin; Bruffaerts, Nicolas; Devleesschauwer, Brecht; Ceulemans, Tobias; Van Gerven, Laura; Aerts, Raf; Schrijvers, Rik</t>
  </si>
  <si>
    <t>Otavova, Martina; Masquelier, Bruno; Faes, Christel; Van den Borre, Laura; Bouland, Catherine; De Clercq, Eva; Vandeninden, Bram; De Bleser, Andreas; Devleesschauwer, Brecht</t>
  </si>
  <si>
    <t>Gorasso, Vanessa; Nazaré Morgado, Joana; Charalampous, Periklis; Pires, Sara M.; Haagsma, Juanita A.; Santos, João Vasco: Idavain, Jane; Ngwa, Che Henry; Noguer, Isabel; Padron-Monedero, Alicia; Sarmiento, Rodrigo; Pinheiro, Vera; von der Lippe, Elena; Jakobsen, Lea Sletting; Devleesschauwer, Brecht; Plass, Dietrich; The COST Action CA18218 participants</t>
  </si>
  <si>
    <t>Using random-forest multiple imputation to address bias of self-reported anthropometric measures, hypertension and hypercholesterolemia in the Belgian health interview survey</t>
  </si>
  <si>
    <t>10.1186/s12874-023-01892-x</t>
  </si>
  <si>
    <t>Cluster pattern analysis of environmental stressors and quantifying their impact on all-cause mortality in Belgium</t>
  </si>
  <si>
    <t>Vandeninden, Bram; De Clercq, Eva; Devleesschauwer, Brecht; Otavova, Martina; Bouland, Catherine; Faes, Christel</t>
  </si>
  <si>
    <t>Exploratory study of risk factors related to SARS-CoV-2 prevalence in nursing homes in Flanders (Belgium) during the first wave of the COVID-19 pandemic</t>
  </si>
  <si>
    <t>Janssens, Heidi; Heytens, Stefan; Meyers, Eline; Devleesschauwer, Brecht; Cools, Piet; Geens, Tom</t>
  </si>
  <si>
    <t>Association between SARS-CoV-2 variants and post COVID-19 condition: findings from a longitudinal cohort study in the Belgian adult population</t>
  </si>
  <si>
    <t>BMC Infectious Disease</t>
  </si>
  <si>
    <t>Age and Ageing</t>
  </si>
  <si>
    <t>Age Ageing</t>
  </si>
  <si>
    <t>Makovski, Tatjana T.; Ghattas, Jinane; Monnier-Besnard, Stéphanie; Cavillot, Lisa; Ambrožová, Monika; Vašinová, Barbora; Feteira-Santos, Rodrigo; Bezzegh, Peter; Bollmann, Felipe Ponce; Cottam, James; Haneef, Romana; Devleesschauwer, Brecht; Speybroeck, Niko ; Nogueira, Paulo Jorge; Forjaz, Maria João; Coste, Joël; Carcaillon-Bentata, Laure</t>
  </si>
  <si>
    <t>The incremental healthcare cost associated with cancer in Belgium: a registry-based data analysis</t>
  </si>
  <si>
    <t>10.1186/s12905-023-02260-z</t>
  </si>
  <si>
    <t>Scoping review of the association between bacterial vaginosis and emotional, sexual and social health</t>
  </si>
  <si>
    <t>10.1186/s12963-023-00303-z</t>
  </si>
  <si>
    <t>10.1016/j.sste.2023.100587</t>
  </si>
  <si>
    <t>Excess mortality across migrant groups in Belgium during the first three COVID-19 waves: the evolving dynamics of social inequalities</t>
  </si>
  <si>
    <t>Vanthomme, Katrien; Gadeyne, Sylvie; Devleesschauwer, Brecht; Van den Borre, Laura</t>
  </si>
  <si>
    <t>Journal of Public Health</t>
  </si>
  <si>
    <t>J. Public Health</t>
  </si>
  <si>
    <t>The direct disease burden of COVID-19 in Belgium in 2020 and 2021</t>
  </si>
  <si>
    <t>Devleesschauwer, Brecht; Willem, Lander; Jurčević, Jure; Smith, Pierre; Scohy, Aline; Wyper, Grant; Pires, Sara Monteiro; Van Goethem, Nina; Beutels, Philippe; Franco, Nicolas; Abrams, Steven; Van Cauteren, Dieter; Speybroeck, Niko; Hens, Niel; De Pauw, Robby</t>
  </si>
  <si>
    <t xml:space="preserve">Certainty of the Global Burden of Disease 2019 modelled prevalence estimates for musculoskeletal conditions: a meta-epidemiological study </t>
  </si>
  <si>
    <t>The impact of the COVID-19 pandemic on delayed care of cardiovascular diseases in Europe: a systematic review</t>
  </si>
  <si>
    <t>Khan, Yasmine Patricia; Verhaeghe, Nick; Devleesschauwer, Brecht; Cavillot, Lisa; Gadeyne, Sylvie; Pauwels, Nele S; Van den Borre, Laura; De Smedt, Delphine</t>
  </si>
  <si>
    <t>COVID-19 pandemic response in the Meuse-Rhine Euroregion: methods, participation and recommendations of a longitudinal cross-border study</t>
  </si>
  <si>
    <t>https://doi.org/10.1186/s13690-023-01102-6</t>
  </si>
  <si>
    <t>https://pubmed.ncbi.nlm.nih.gov/37179369/</t>
  </si>
  <si>
    <t>Prevalence of drug use before and during imprisonment in seven European countries (2014-2018)</t>
  </si>
  <si>
    <t>https://doi.org/10.1002/jcop.23053</t>
  </si>
  <si>
    <t>https://pubmed.ncbi.nlm.nih.gov/37172289/</t>
  </si>
  <si>
    <t>Eur. Heart J. Qual. Care Clin. Outcomes</t>
  </si>
  <si>
    <t>European Heart Journal. Quality of Care &amp; Clinical Outcomes</t>
  </si>
  <si>
    <t>Inequalities in the burden of non-communicable diseases across European countries: a systematic analysis of the Global Burden of Disease 2019 study</t>
  </si>
  <si>
    <t>International Journal for Equity in Health</t>
  </si>
  <si>
    <t>Int. J. Equity Health</t>
  </si>
  <si>
    <t>Andrade, Carlos Alexandre Soares; Mahrouseh, Nour; Gabrani, Jonila; Charalampous, Periklis; Cuschieri, Sarah; Grad, Diana Alecsandra; Unim, Brigid; Mechili, Enkeleint A.; Chen-Xu, José; Devleesschauwer, Brecht; Isola, Gaetano; von der Lippe, Elena; Baravelli, Carl Michael; Fischer, Florian; Weye, Nanna; Balaj, Mirza; Haneef, Romana; Economou, Mary; Haagsma, Juanita A.; Varga, Orsolya</t>
  </si>
  <si>
    <t>e069355</t>
  </si>
  <si>
    <t xml:space="preserve">10.1136/bmjopen-2022-069355 </t>
  </si>
  <si>
    <t xml:space="preserve">What does it take to create a European Health Data Space? International commitments and national realities </t>
  </si>
  <si>
    <t>https://doi.org/10.1016/j.zefq.2023.03.011</t>
  </si>
  <si>
    <t>https://pubmed.ncbi.nlm.nih.gov/37208272/</t>
  </si>
  <si>
    <t>10.3389/ijph.2023.1605763</t>
  </si>
  <si>
    <t>Investigating years of life lost in Belgium, 2004–2019: A comprehensive analysis using a probabilistic redistribution approach</t>
  </si>
  <si>
    <t>Devleesschauwer, Brecht; Scohy, Aline; De Pauw, Robby; Gorasso, Vanessa; Kongs, Anne; Neirynck, Elias; Verduyckt, Peter; Wyper, Grant M A; Van den Borre, Laura</t>
  </si>
  <si>
    <t xml:space="preserve">Trends in adults' energy imbalance gaps over two decades in Belgium using system dynamics modelling </t>
  </si>
  <si>
    <t xml:space="preserve">Product promotional strategies in supermarkets and their effects on sales: A case study of breakfast cereals and drinks in New Zealand </t>
  </si>
  <si>
    <t>National Trends and Disparities in Retail Food Environments in the United States between 1990-2014</t>
  </si>
  <si>
    <t>Prevalence and factors associated with academic burnout risk among nursing and midwifery students during the COVID-19 pandemic: A cross-sectional study</t>
  </si>
  <si>
    <t xml:space="preserve">Innovative Methods Used in Monitoring COVID-19 in Europe: A Multinational Study </t>
  </si>
  <si>
    <t xml:space="preserve">Self-uniqueness beliefs and adherence to recommended precautions. A 5-wave longitudinal COVID-19 study </t>
  </si>
  <si>
    <t>https://doi.org/10.1186/s40795-023-00721-0</t>
  </si>
  <si>
    <t>https://pubmed.ncbi.nlm.nih.gov/37245052/</t>
  </si>
  <si>
    <t>Assessing European national health information systems in peer review format: lessons learnt</t>
  </si>
  <si>
    <t>https://doi.org/10.1093/eurpub/ckad085</t>
  </si>
  <si>
    <t>https://pubmed.ncbi.nlm.nih.gov/37263589/</t>
  </si>
  <si>
    <t>Di Bari, Carlotta; Devleesschauwer, Brecht</t>
  </si>
  <si>
    <t>Burden of Foodborne Diseases From Biological Hazards</t>
  </si>
  <si>
    <t>10.1016/B978-0-12-822521-9.00221-5</t>
  </si>
  <si>
    <t>The state of health in the European Union (EU-27) in 2019: A systematic analysis for the Global Burden of Disease Study 2019</t>
  </si>
  <si>
    <t xml:space="preserve">BMC Public Health </t>
  </si>
  <si>
    <t>Cancer Medicine</t>
  </si>
  <si>
    <t>Cancer Med.</t>
  </si>
  <si>
    <t>Santos, João Vasco, Devleesschauwer, Brecht</t>
  </si>
  <si>
    <t>10.1016/j.scitotenv.2023.164801</t>
  </si>
  <si>
    <t>10.1186/s13690-023-01119-x</t>
  </si>
  <si>
    <t>Unhealthy food advertising on Costa Rican and Guatemalan television: a comparative study</t>
  </si>
  <si>
    <t>https://doi.org/10.1093/heapro/daad028</t>
  </si>
  <si>
    <t>https://pubmed.ncbi.nlm.nih.gov/37184579/</t>
  </si>
  <si>
    <t>The Africa Food Environment Research Network (FERN): from concept to practice</t>
  </si>
  <si>
    <t>https://doi.org/10.1177/17579759221126155</t>
  </si>
  <si>
    <t>https://pubmed.ncbi.nlm.nih.gov/36321592/</t>
  </si>
  <si>
    <t>Were SARS-CoV-2 self-tests used for their intended purpose? The experience in Belgium</t>
  </si>
  <si>
    <t>https://doi.org/10.1186/s12913-023-09704-0</t>
  </si>
  <si>
    <t>Psychological distress and online advice-seeking in times of COVID-19: vertical and horizontal equity of an e-mental health strategy</t>
  </si>
  <si>
    <t>https://doi.org/10.1007/s12144-023-04907-4</t>
  </si>
  <si>
    <t>Comparing self-reported health interview survey and pharmacy billing data in determining the prevalence of diabetes, hypertension, and hypercholesterolemia in Belgium</t>
  </si>
  <si>
    <t>https://doi.org/10.1186/s13690-023-01134-y</t>
  </si>
  <si>
    <t>https://pubmed.ncbi.nlm.nih.gov/37391854/</t>
  </si>
  <si>
    <t>10.1016/j.onehlt.2023.100595</t>
  </si>
  <si>
    <t>Animal sources of antimicrobial resistant bacterial infections in humans: a systematic review</t>
  </si>
  <si>
    <t>Fastl, Christina; De Carvalho Ferreira, Helena C; Babo Martins, Sara; Sucena Afonso, Joao; di Bari, Carlotta; Venkateswaran, Narmada; Pires, Sara Monteiro; Mughini-Gras, Lapo; Huntington, Ben; Rushton, Jonathan; Pigott, David; Devleesschauwer, Brecht</t>
  </si>
  <si>
    <t>Trends in socioeconomic inequalities in cause-specific premature mortality in Belgium, 1998-2019</t>
  </si>
  <si>
    <t>Otavova, Martina; Masquelier, Bruno; Faes, Christel; Van Den Borre, Laura; Vandeninden, Bram; De Clercq, Eva; Devleesschauwer, Brecht</t>
  </si>
  <si>
    <t>Non-response bias in the analysis of the association between mental health and the urban environment: a cross-sectional study in Brussels, Belgium</t>
  </si>
  <si>
    <t>HIND</t>
  </si>
  <si>
    <t>https://doi.org/10.1186/s13690-023-01118-y</t>
  </si>
  <si>
    <t>avg time since submission</t>
  </si>
  <si>
    <t>Understanding the contribution of lifestyle in breast cancer risk prediction: a systematic review of models applicable to Europe</t>
  </si>
  <si>
    <t>https://doi.org/10.1186/s12885-023-11174-w</t>
  </si>
  <si>
    <t>https://pubmed.ncbi.nlm.nih.gov/37480028/</t>
  </si>
  <si>
    <t>Kalenda Kayiba, Nadine; Tshibangu-Kabamba, Evariste; Rosas-Aguirre, Angel; Kaku, Natsuko; Nakagama, Yu; Kaneko, Akira; Makaba Mvumbi, Dieudonné; Malekita Yobi, Doudou; Devleesschauwer, Brecht; Losimba Likwela, Joris; Kabututu Zakayi, Pius; DeMol, Patrick; Lelo Mvumbi, Georges; Hayette, Marie-Pierre; Dikassa Lusamba, Paul; Kido, Yasutoshi; Speybroeck, Niko</t>
  </si>
  <si>
    <t>10.1186/s12889-023-16336-w</t>
  </si>
  <si>
    <t>date_submitted</t>
  </si>
  <si>
    <t>Proposed methods for evaluating efforts made by governments to prevent and mitigate corporate influence and conflicts of interest in public health policy</t>
  </si>
  <si>
    <t>https://pubmed.ncbi.nlm.nih.gov/37496747/</t>
  </si>
  <si>
    <t>https://doi.org/10.12688/hrbopenres.13553.2</t>
  </si>
  <si>
    <t>10.1186/s12939-023-01958-8</t>
  </si>
  <si>
    <t>The role of the perceived environment for recreational walking among adults in socioeconomically disadvantaged situations: A study using walk-along interviews</t>
  </si>
  <si>
    <t>https://doi.org/10.1016/j.ssmph.2023.101456</t>
  </si>
  <si>
    <t>https://pubmed.ncbi.nlm.nih.gov/37501782/</t>
  </si>
  <si>
    <t>10.1007/s12571-023-01385-1</t>
  </si>
  <si>
    <t>Upstream Determinants of Overweight and Obesity in Europe</t>
  </si>
  <si>
    <t>https://doi.org/10.1007/s13679-023-00524-1</t>
  </si>
  <si>
    <t>https://pubmed.ncbi.nlm.nih.gov/37594616/</t>
  </si>
  <si>
    <t>10.1017/S0950268823001309</t>
  </si>
  <si>
    <t>10.1186/s13690-023-01163-7</t>
  </si>
  <si>
    <t>Unhealthy food availability, prominence and promotion in a representative sample of supermarkets in Flanders (Belgium): a detailed assessment</t>
  </si>
  <si>
    <t>https://pubmed.ncbi.nlm.nih.gov/37608383/</t>
  </si>
  <si>
    <t>https://doi.org/10.1186/s13690-023-01175-3</t>
  </si>
  <si>
    <t>The burden of breast, cervical, and colon and rectum cancer in the Balkan countries, 1990–2019 and forecast to 2030</t>
  </si>
  <si>
    <t>Todorovic, Jovana; Stamenkovic, Zeljka; Stevanovic, Aleksandar; Terzic, Natasa; Kissimova-Skarbek, Katarzyna; Tozija, Fimka; Mechili, Enkeleint A.; Devleesschauwer, Brecht; Terzic-Supic, Zorica; Vasic, Milena; Bjegovic-Mikanovic, Vesna; Santric-Milicevic, Milena; COST Action 18218 participants Burden of Disease Collaborator Network</t>
  </si>
  <si>
    <t>10.1186/s13690-023-01137-9</t>
  </si>
  <si>
    <t>Expanding citizen engagement in the secondary use of health data: an opportunity for national Health Data Access Bodies to realise the intentions of the European Health Data Space</t>
  </si>
  <si>
    <t>Saelaert, Marlies; Mathieu, Louise; Van Hoof, Wannes; Devleesschauwer, Brecht</t>
  </si>
  <si>
    <t>10.1186/s12889-023-16572-0</t>
  </si>
  <si>
    <t>10.1186/s13690-023-01182-4</t>
  </si>
  <si>
    <t>e143</t>
  </si>
  <si>
    <t xml:space="preserve">Mental health among people with a migration background in Belgium over the past 20 years: how has the situation evolved? </t>
  </si>
  <si>
    <t>https://doi.org/10.1186/s13690-023-01187-z</t>
  </si>
  <si>
    <t>https://pubmed.ncbi.nlm.nih.gov/37770954/</t>
  </si>
  <si>
    <t xml:space="preserve"> e0292596</t>
  </si>
  <si>
    <t>10.1093/ehjqcco/qcad051</t>
  </si>
  <si>
    <t>10.1371/journal.pone.0292596</t>
  </si>
  <si>
    <t>Classification of post COVID-19 condition symptoms: a longitudinal study in the Belgian population</t>
  </si>
  <si>
    <t>e072726</t>
  </si>
  <si>
    <t xml:space="preserve"> 10.1136/bmjopen-2023-072726 </t>
  </si>
  <si>
    <t>Fasciola spp. in Southeast Asia: A systematic review</t>
  </si>
  <si>
    <t>Hoang Quang, Vinh; Levecke, Bruno; Do Trung, Dung; Devleesschauwer, Brecht; Vu Thi Lam, Binh; Goossens, Kathy; Polman, Katja; Callens, Steven; Dorny, Pierre; Dermauw, Veronique</t>
  </si>
  <si>
    <t>e0288777</t>
  </si>
  <si>
    <t xml:space="preserve">10.1371/journal.pone.0288777 </t>
  </si>
  <si>
    <t>10.1186/s13690-023-01212-1</t>
  </si>
  <si>
    <t>The importance of estimating the burden of disease from foodborne transmission of Trypanosoma cruzi</t>
  </si>
  <si>
    <t>Robertson, Lucy; Havelaar, Arie; Keddy, Karen H; Devleesschauwer, Brecht; Sripa, Banchob; Torgerson, Paul</t>
  </si>
  <si>
    <t>Discover Health Systems</t>
  </si>
  <si>
    <t>Discov. Health Syst.</t>
  </si>
  <si>
    <t>Gorasso, Vanessa; Vandevijvere, Stefanie; Nusselder, Wilma; De Pauw, Robby; Hilderink, Henk; Nayani, Sarah; Van der Heyden, Johan; Desmedt, Delphine; Devleesschauwer, Brecht</t>
  </si>
  <si>
    <t>Thi Khanh, Huyen Nguyen; Cornelissen, Laura; Castanares-Zapatero, Diego; De Pauw, Robby; Van Cauteren, Dieter; Demarest, Stefaan; Drieskens, Sabine; Devleesschauwer, Brecht; De Ridder, Karin; Charafeddine, Rana; Smith, Pierre</t>
  </si>
  <si>
    <t>10.1186/s12879-023-08787-8</t>
  </si>
  <si>
    <t>10.1007/s44250-023-00051-9</t>
  </si>
  <si>
    <t>The Belgian physiotherapy reimbursement criteria for fall prevention fails in screening appropriately fall-prone community-dwelling older adults</t>
  </si>
  <si>
    <t>https://doi.org/10.1080/17843286.2023.2268916</t>
  </si>
  <si>
    <t>https://pubmed.ncbi.nlm.nih.gov/37815372/</t>
  </si>
  <si>
    <t>The landscape of drug resistance in Plasmodium falciparum malaria in the Democratic Republic of Congo: a mapping systematic review</t>
  </si>
  <si>
    <t>Tropical Medicine and Health</t>
  </si>
  <si>
    <t>Trop. Med. Health</t>
  </si>
  <si>
    <t>10.1186/s41182-023-00551-7</t>
  </si>
  <si>
    <t xml:space="preserve">Linking health survey data with health insurance data: methodology, challenges, opportunities and recommendations for public health research. An experience from the HISlink project in Belgium </t>
  </si>
  <si>
    <t>https://doi.org/10.1186/s13690-023-01213-0</t>
  </si>
  <si>
    <t>https://pubmed.ncbi.nlm.nih.gov/37968754/</t>
  </si>
  <si>
    <t>Attributing Ethiopian animal health losses to high-level causes using expert elicitation</t>
  </si>
  <si>
    <t>https://doi.org/10.1016/j.prevetmed.2023.106077</t>
  </si>
  <si>
    <t>https://pubmed.ncbi.nlm.nih.gov/37976968/</t>
  </si>
  <si>
    <t>Association between adherence to the EAT-Lancet sustainable reference diet and cardiovascular health among European adolescents: the HELENA study</t>
  </si>
  <si>
    <t>https://doi.org/10.1038/s41430-023-01379-4</t>
  </si>
  <si>
    <t>https://pubmed.ncbi.nlm.nih.gov/38093098/</t>
  </si>
  <si>
    <t>Evaluation of an electrochemical sensor and comparison with spectroscopic approaches as used today in practice for harm reduction in a festival setting-A case study: Analysis of 3,4-methylenedioxymethamphetamine samples</t>
  </si>
  <si>
    <t>https://pubmed.ncbi.nlm.nih.gov/38086368/</t>
  </si>
  <si>
    <t>https://doi.org/10.1002/dta.3625</t>
  </si>
  <si>
    <t>Age-Specific Quantification of Overweight/Obesity Risk Factors From Infancy to Adolescence and Differences by Educational Level of Parents</t>
  </si>
  <si>
    <t>https://doi.org/10.3389/ijph.2023.1605798</t>
  </si>
  <si>
    <t>https://pubmed.ncbi.nlm.nih.gov/38033763/</t>
  </si>
  <si>
    <t xml:space="preserve">Comparing frailty prevalence between countries: validation of the Global Burden of Disease study Frailty Index (GBD-FI) in the survey of health, ageing and retirement in Europe </t>
  </si>
  <si>
    <t>O'Donovan, Mark R; Devleesschauwer, Brecht; Sezgin, Duygu; Liew, Aaron; Kabir, Zubair; O'Caoimh, Rónán</t>
  </si>
  <si>
    <t>afad214</t>
  </si>
  <si>
    <t xml:space="preserve">10.1093/ageing/afad214 </t>
  </si>
  <si>
    <t xml:space="preserve">Patient Reported Outcome and Experience Measures (PROMs and PREMs) in substance use disorder treatment services: A scoping review </t>
  </si>
  <si>
    <t>https://doi.org/10.1016/j.drugalcdep.2023.111017</t>
  </si>
  <si>
    <t>https://pubmed.ncbi.nlm.nih.gov/37995391/</t>
  </si>
  <si>
    <t xml:space="preserve">Dependence-Robust Confidence Intervals for Capture-Recapture Surveys </t>
  </si>
  <si>
    <t>https://doi.org/10.1093/jssam/smac031</t>
  </si>
  <si>
    <t>https://pubmed.ncbi.nlm.nih.gov/37975066/</t>
  </si>
  <si>
    <t>Added</t>
  </si>
  <si>
    <t>Email</t>
  </si>
  <si>
    <t>overview of available/added</t>
  </si>
  <si>
    <t>check link to projects, health topics, authors</t>
  </si>
  <si>
    <t>add PDF</t>
  </si>
  <si>
    <t>Uncovering the toll of the first three COVID-19 waves: excess mortality and social patterns in Belgium</t>
  </si>
  <si>
    <t>Van den Borre, Laura; Gadeyne, Sylvie; Devleesschauwer, Brecht; Vanthomme, Katrien</t>
  </si>
  <si>
    <t>Multimorbidity and frailty are associated with poorer SARS-CoV-2-related outcomes: systematic review of population-based studies</t>
  </si>
  <si>
    <t>Aging Clinical and Experimental Research</t>
  </si>
  <si>
    <t>Aging Clin. Exp. Res.</t>
  </si>
  <si>
    <t>Journal of Transport and Health</t>
  </si>
  <si>
    <t>Vandeninden, Bram; De Clercq, Eva; Devleesschauwer, Brecht; Otavova, Martina; Masquelier, Bruno; Fierens, Frans; Faes, Christel; Bouland, Catherine</t>
  </si>
  <si>
    <t>Hubin, Pierre; Van den Borre, Laura; Braeye, Toon; Cavillot, Lisa; Billuart, Matthieu; Stouten, Veerle; Nasiadka, Léonore; Vermeiren, Elias; Van Evercooren, Izaak; Devleesschauwer, Brecht; Catteau, Lucy; van Loenhout, Joris A F</t>
  </si>
  <si>
    <t>Vaccine: X</t>
  </si>
  <si>
    <t>Vaccine X</t>
  </si>
  <si>
    <t>10.1007/s10389-023-02180-0</t>
  </si>
  <si>
    <t>J. Transp. Health</t>
  </si>
  <si>
    <t>Assessing mental health from registry data: What is the best proxy?</t>
  </si>
  <si>
    <t>https://doi.org/10.1016/j.ijmedinf.2024.105340</t>
  </si>
  <si>
    <t>https://pubmed.ncbi.nlm.nih.gov/38244479/</t>
  </si>
  <si>
    <t xml:space="preserve">Impact of short-term exposure to air pollution on natural mortality and vulnerable populations: a multi-city case-crossover analysis in Belgium </t>
  </si>
  <si>
    <t>https://pubmed.ncbi.nlm.nih.gov/38267996/</t>
  </si>
  <si>
    <t>https://doi.org/10.1186/s12940-024-01050-w</t>
  </si>
  <si>
    <t xml:space="preserve">10.1002/cam4.6659 </t>
  </si>
  <si>
    <t>Standardised reporting of burden of disease studies: the STROBOD statement</t>
  </si>
  <si>
    <t>Devleesschauwer, Brecht; Charalampous, Periklis; Gorasso, Vanessa; Assunção, Ricardo; Grant, Ian; Hilderink, Henk; Idavain, Jane; Lesnik, Tina; Santric-Milicevic, Milena; Pallari, Elena; Pires, Sara Monteiro; Plass, Dietrich; Wyper, Grant M A; von der Lippe, Elena; Haagsma, Juanita A</t>
  </si>
  <si>
    <t>e0011904</t>
  </si>
  <si>
    <t xml:space="preserve">10.1371/journal.pntd.0011904 </t>
  </si>
  <si>
    <t>e0011898</t>
  </si>
  <si>
    <t>10.1371/journal.pntd.0011898</t>
  </si>
  <si>
    <t>10.1186/s12889-024-17933-z</t>
  </si>
  <si>
    <t>10.1007/s40520-023-02685-4</t>
  </si>
  <si>
    <t>Nutri-Score 2023 update</t>
  </si>
  <si>
    <t>https://doi.org/10.1038/s43016-024-00920-3</t>
  </si>
  <si>
    <t>https://pubmed.ncbi.nlm.nih.gov/38356074/</t>
  </si>
  <si>
    <t>10.1186/s12889-024-18011-0</t>
  </si>
  <si>
    <t>e6659</t>
  </si>
  <si>
    <t>10.1136/jech-2023-220751</t>
  </si>
  <si>
    <t>Journal of Substance Use and Addiction Treatment</t>
  </si>
  <si>
    <t>J. Subst. Use Addict. Treat.</t>
  </si>
  <si>
    <t>Environ. Health</t>
  </si>
  <si>
    <t>Environmental Health</t>
  </si>
  <si>
    <t>A nationwide exploration of social inequalities in cancer mortality amidst the COVID-19 pandemic in Belgium</t>
  </si>
  <si>
    <t>Khan, Yasmine; De Smedt, Delphine; Vanthomme, Katrien; Van den Borre, Laura; Verhaeghe, Nick; Devleesschauwer, Brecht; Deboosere, Patrick; Gadeyne, Sylvie</t>
  </si>
  <si>
    <t>Using priorities between human and livestock bacterial antimicrobial resistance (AMR) to identify data gaps in livestock AMR surveillance</t>
  </si>
  <si>
    <t>Embracing the complexity: a critical appraisal of global neck pain trends and research gaps</t>
  </si>
  <si>
    <t>https://pubmed.ncbi.nlm.nih.gov/38383082/</t>
  </si>
  <si>
    <t>https://doi.org/10.1016/s2665-9913(24)00003-1</t>
  </si>
  <si>
    <t xml:space="preserve">Full Characterisation of Heroin Samples Using Infrared Spectroscopy and Multivariate Calibration </t>
  </si>
  <si>
    <t>https://doi.org/10.3390/molecules29051116</t>
  </si>
  <si>
    <t>https://pubmed.ncbi.nlm.nih.gov/38474628/</t>
  </si>
  <si>
    <t xml:space="preserve">Please don't throw me in the briar patch! Empirical evidence on the role of instructional cues on eco-label usage in fish consumption decisions </t>
  </si>
  <si>
    <t>https://pubmed.ncbi.nlm.nih.gov/38485058/</t>
  </si>
  <si>
    <t>https://doi.org/10.1016/j.appet.2024.107291</t>
  </si>
  <si>
    <t>The potential impact fraction of population weight reduction scenarios on non-communicable diseases in Belgium: application of the g-computation approach</t>
  </si>
  <si>
    <t>10.1186/s12874-024-02212-7</t>
  </si>
  <si>
    <t>Assumption-lean quantile regression</t>
  </si>
  <si>
    <t>Baklicharov, Georgi; Ley, Christophe; Gorasso, Vanessa; Devleesschauwer, Brecht; Vansteelandt, Stijn</t>
  </si>
  <si>
    <t>Area and individual level analyses of demographic and socio-economic disparities in COVID-19 vaccination uptake in Belgium</t>
  </si>
  <si>
    <t>10.1016/j.jvacx.2024.100496</t>
  </si>
  <si>
    <t>Gorasso, Vanessa; Vandevijvere, Stefanie; Van der Heyden, Johan; Pelgrims, Ingrid; Hilderink, Henk; Nusselder, Wilma; Demoury, Claire; Schmidt, Masja; Vansteelandt, Stijn; De Smedt, Delphine; Devleesschauwer, Brecht</t>
  </si>
  <si>
    <t>Santos, João Vasco; Padron Monedero, Alicia; Bikbov, Boris; Grad, Diana Alecsandra; Plass, Dietrich; Mechili, Enkeleint A; Gazzelloni, Federica; Fischer, Florian; Sulo, Gerhard; Ngwa, Che Henry; Noguer-Zambrano, Isabel; Peñalvo, José Luis; Haagsma, Juanita A; Kissmiova-Skarbek, Katarzyna; Monasta, Lorenzo; Ghith, Nermin; Sarmiento-Suarez, Rodrigo; Hrzic, Rok; Haneef, Romana; O'Caoimh, Rónán; Cuschieri, Sarah; Mondello, Stefania; Kabir, Zubair; GBD 2019 EU State of Health Collaborators; Freitas, Alberto; Devleesschauwer, Brecht</t>
  </si>
  <si>
    <t>10.1186/s12889-024-18529-3</t>
  </si>
  <si>
    <t>Accuracy of immunological tests on serum and urine for diagnosis of Taenia solium neurocysticercosis: A systematic review</t>
  </si>
  <si>
    <t>The role of socio-economic determinants in SARS-CoV-2 health outcomes: systematic review of population-based studies</t>
  </si>
  <si>
    <t>Unravelling demographic and socioeconomic patterns of COVID-19 death and other causes of death: results of an individual-level analysis of exhaustive cause of death data in Belgium, 2020</t>
  </si>
  <si>
    <t>Vernaillen, Brent; Devleesschauwer, Brecht; Vansteelandt, Stijn; Gisle, Lydia; Drieskens, Sabine; Damian, Elena</t>
  </si>
  <si>
    <t>Cavillot, Lisa; Van den Borre, Laura; Vanthomme, Katrien; Scohy, Aline; Deboosere, Patrick; Devleesschauwer, Brecht; Speybroeck, Niko; Gadeyne, Sylvie</t>
  </si>
  <si>
    <t>Ghattas, Jinane; Makovski, Tatjana T; Monnier-Besnard, Stéphanie; Cavillot, Lisa; Ambrožová, Monika; Vašinová, Barbora; Feteira-Santos, Rodrigo; Bezzegh, Peter; Bollmann, Felipe Ponce; Cottam, James; Haneef, Romana; Speybroeck, Niko; Nogueira, Paulo Jorge; Forjaz, Maria João; Coste, Joël; Carcaillon-Bentata, Laure; Devleesschauwer, Brecht</t>
  </si>
  <si>
    <t>The economic burden of smoking in Belgium: incremental healthcare costs and lost productivity</t>
  </si>
  <si>
    <t>Vynckier, Pieter; Schmidt, Masja; Nayani, Sarah; Guariguata, Leonor; Devleesschauwer, Brecht; Verhaeghe, Nick</t>
  </si>
  <si>
    <t>Pelgrims, Ingrid; Devleesschauwer, Brecht; Vandevijvere, Stefanie; De Clercq, Eva M; Van der Heyden, Johan; Vansteelandt, Stijn</t>
  </si>
  <si>
    <t>10.1186/s13023-024-03342-3</t>
  </si>
  <si>
    <t>Journal of Business &amp; Economic Statistics</t>
  </si>
  <si>
    <t>J. Bus. Econ. Stat.</t>
  </si>
  <si>
    <t>Cavillot, Lisa; Moerkerke, Beatrijs; Devleesschauwer, Brecht; Ghattas, Jinane; van Loenhout, Joris A F; Van den Borre, Laura; Speybroeck, Niko; Loeys, Tom; De Pauw, Robby</t>
  </si>
  <si>
    <t>Linking animal and human health burden: challenges and opportunities</t>
  </si>
  <si>
    <t>Devleesschauwer, Brecht; di Bari, Carlotta; Fastl, Christina; Babo Martins, Sara; Venkateswaran, Narmada; Pigott, David Michael</t>
  </si>
  <si>
    <t>10.20506/rst.43.3520</t>
  </si>
  <si>
    <t>10.1186/s12879-024-09847-3</t>
  </si>
  <si>
    <t>BMC Medical Informatics and Decision Making</t>
  </si>
  <si>
    <t>Opportunities and bottlenecks regarding the development of an administrative health data cohort and research infrastructure in Belgium: a qualitative interview study</t>
  </si>
  <si>
    <t>Saelaert, Marlies; Devleesschauwer, Brecht</t>
  </si>
  <si>
    <t>BMC Med. Inform. Decis. Mak.</t>
  </si>
  <si>
    <t>Urban and transport planning, air pollution, and green space: health effects in three Belgian cities</t>
  </si>
  <si>
    <t>Vandeninden, Bram; Devleesschauwer, Brecht; Otavova, Martina; Faes, Christel; Bouland, Catherine; De Clercq, Eva M</t>
  </si>
  <si>
    <t>A preliminary estimate of the environmental burden of disease associated with exposure to pyrethroid insecticides and ADHD in Europe based on human biomonitoring</t>
  </si>
  <si>
    <t>Purece, Anthony; Thomsen, Sofie Theresa; Plass, Dietrich; Spyropoulou, Anastasia; Machera, Kyriaki; Palmont, Philippe; Crépet, Amélie; Benchrih, Rafiqa; Devleesschauwer, Brecht; Wieland, Nina; Scheepers, Paul T J; Deepika, Deepika; Kumar, Vikas; Sanchez, Gerardo; Bessems, Jos; Piselli, Dario; Buekers, Jurgen</t>
  </si>
  <si>
    <t>10.1186/s12940-024-01131-w</t>
  </si>
  <si>
    <t>10.1186/s12963-024-00347-9</t>
  </si>
  <si>
    <t>Fernandez, Kim; Antoine, Jérôme; Damian, Elena; Sinclair, Deborah Louise; Cosgrove, Shona; Devleesschauwer, Brecht</t>
  </si>
  <si>
    <t>Impact of substance type and patient characteristics on the choice of treatment setting for substance use disorder in Belgium</t>
  </si>
  <si>
    <t>10.1016/j.josat.2024.209561</t>
  </si>
  <si>
    <t>A systematic review of the methodological considerations in Campylobacter burden of disease studies</t>
  </si>
  <si>
    <t>Tumulty, Megan; Di Bari, Carlotta; Devleesschauwer, Brecht; Pires, Sara M.; Kabir, Zubair</t>
  </si>
  <si>
    <t>Fascioliasis in north-central Vietnam: assessing community knowledge, attitudes, and practices</t>
  </si>
  <si>
    <t>Van Acker, Lisa; Toribio, Luz; Chachage, Mkunde; Zeng, Hang; Devleesschauwer, Brecht; Garcia, Héctor H.; Gabriël, Sarah; on behalf of the NeuroSolve Consortium</t>
  </si>
  <si>
    <t>10.1371/journal.pntd.0012643</t>
  </si>
  <si>
    <t>e0012643</t>
  </si>
  <si>
    <t>YEAR</t>
  </si>
  <si>
    <t>Characterizing the extent and nature of digital food and beverage marketing in Singapore - a descriptive study</t>
  </si>
  <si>
    <t>https://doi.org/10.1017/s1368980024002428</t>
  </si>
  <si>
    <t>https://pubmed.ncbi.nlm.nih.gov/39663980/</t>
  </si>
  <si>
    <t>https://doi.org/10.1038/s41598-024-79327-w</t>
  </si>
  <si>
    <t>https://pubmed.ncbi.nlm.nih.gov/39632907/</t>
  </si>
  <si>
    <t>Communicative health literacy and associated variables in nine European countries: results from the HLS19 survey</t>
  </si>
  <si>
    <t>The potential of including the microbiome as biomarker in population-based health studies: methods and benefits</t>
  </si>
  <si>
    <t>https://doi.org/10.3389/fpubh.2024.1467121</t>
  </si>
  <si>
    <t>https://pubmed.ncbi.nlm.nih.gov/39507669/</t>
  </si>
  <si>
    <t>Twenty-year trend in the prevalence of increased cardiometabolic risk, measured by abdominal obesity, among Spanish children and adolescents across body mass index categories</t>
  </si>
  <si>
    <t>https://pubmed.ncbi.nlm.nih.gov/39501283/</t>
  </si>
  <si>
    <t>https://doi.org/10.1186/s12916-024-03719-y</t>
  </si>
  <si>
    <t>https://doi.org/10.1016/j.josat.2024.209561</t>
  </si>
  <si>
    <t>https://pubmed.ncbi.nlm.nih.gov/39500442/</t>
  </si>
  <si>
    <t>The burden of antimicrobial resistance in livestock: A framework to estimate its impact within the Global Burden of Animal Diseases programme</t>
  </si>
  <si>
    <t>https://doi.org/10.1016/j.onehlt.2024.100917</t>
  </si>
  <si>
    <t>https://pubmed.ncbi.nlm.nih.gov/39497949/</t>
  </si>
  <si>
    <t>Modelling the cost differential between current and healthy diets according to household education level in Belgium</t>
  </si>
  <si>
    <t>https://doi.org/10.1080/09637486.2024.2415126</t>
  </si>
  <si>
    <t>https://pubmed.ncbi.nlm.nih.gov/39463036/</t>
  </si>
  <si>
    <t>The promotion of ultra-processed foods in modern retail food outlets in rural and urban areas in Kenya</t>
  </si>
  <si>
    <t>https://doi.org/10.1017/s1368980024002155</t>
  </si>
  <si>
    <t>https://pubmed.ncbi.nlm.nih.gov/39444290/</t>
  </si>
  <si>
    <t>The economic burden of type 2 diabetes on the public healthcare system in Kenya: a cost of illness study</t>
  </si>
  <si>
    <t>https://doi.org/10.1186/s12913-024-11700-x</t>
  </si>
  <si>
    <t>https://pubmed.ncbi.nlm.nih.gov/39402597/</t>
  </si>
  <si>
    <t>A protocol for identifying the needs related to drug use, health and social (re)integration of people living in prison within five European countries</t>
  </si>
  <si>
    <t>https://doi.org/10.1186/s13690-024-01405-2</t>
  </si>
  <si>
    <t>https://pubmed.ncbi.nlm.nih.gov/39380107/</t>
  </si>
  <si>
    <t>Maladaptive eating behaviors and health-related quality of life in Spanish children</t>
  </si>
  <si>
    <t>https://pubmed.ncbi.nlm.nih.gov/39368780/</t>
  </si>
  <si>
    <t>https://doi.org/10.1016/j.appet.2024.107702</t>
  </si>
  <si>
    <t>Development of the Local Food Systems Policy Index (Local Food-EPI+) tool and assessment process to benchmark the implementation of local government policies for creating healthy, equitable and environmentally sustainable food systems</t>
  </si>
  <si>
    <t>https://doi.org/10.1017/s136898002400140x</t>
  </si>
  <si>
    <t>https://pubmed.ncbi.nlm.nih.gov/39354657/</t>
  </si>
  <si>
    <t>Exploring the multiple dimensions of perceived food access in the local food environment in Flanders: Perceptions of adults in socioeconomically disadvantaged situations</t>
  </si>
  <si>
    <t>https://doi.org/10.1016/j.appet.2024.107609</t>
  </si>
  <si>
    <t>https://pubmed.ncbi.nlm.nih.gov/39094845/</t>
  </si>
  <si>
    <t>Food environment in Burkina Faso: priority actions recommended to the government using Food-EPI tool</t>
  </si>
  <si>
    <t>https://doi.org/10.3389/fnut.2024.1420323</t>
  </si>
  <si>
    <t>https://pubmed.ncbi.nlm.nih.gov/39091684/</t>
  </si>
  <si>
    <t>The Spider: a visual, multisystemic symptom impact questionnaire for people with hypermobility-related disorders-validation in adults</t>
  </si>
  <si>
    <t>https://pubmed.ncbi.nlm.nih.gov/39085705/</t>
  </si>
  <si>
    <t>https://doi.org/10.1007/s10067-024-07071-7</t>
  </si>
  <si>
    <t>Determinants of food insecurity among adults residing in peri-urban municipal settings in Flanders, Belgium</t>
  </si>
  <si>
    <t>https://doi.org/10.1186/s12889-024-19389-7</t>
  </si>
  <si>
    <t>https://pubmed.ncbi.nlm.nih.gov/39075409/</t>
  </si>
  <si>
    <t>Which government policies to create sustainable food systems have the potential to simultaneously address undernutrition, obesity and environmental sustainability?</t>
  </si>
  <si>
    <t>https://doi.org/10.1186/s12992-024-01060-w</t>
  </si>
  <si>
    <t>https://pubmed.ncbi.nlm.nih.gov/39068420/</t>
  </si>
  <si>
    <t>Trauma Exposure, Social Support and Mental Health in the General Population in Belgium</t>
  </si>
  <si>
    <t>https://pubmed.ncbi.nlm.nih.gov/39056651/</t>
  </si>
  <si>
    <t>https://doi.org/10.3390/ejihpe14070136</t>
  </si>
  <si>
    <t>Policy implementation and recommended actions to create healthy food environments using the Healthy Food Environment Policy Index (Food-EPI): a comparative analysis in South Asia</t>
  </si>
  <si>
    <t>https://pubmed.ncbi.nlm.nih.gov/39040122/</t>
  </si>
  <si>
    <t>https://doi.org/10.1016/j.lansea.2024.100428</t>
  </si>
  <si>
    <t>Differences in the cost and environmental impact between the current diet in Brazil and healthy and sustainable diets: a modeling study</t>
  </si>
  <si>
    <t>https://doi.org/10.1186/s12937-024-00973-x</t>
  </si>
  <si>
    <t>https://pubmed.ncbi.nlm.nih.gov/38982483/</t>
  </si>
  <si>
    <t>Lifestyle predictors of colorectal cancer in European populations: a systematic review</t>
  </si>
  <si>
    <t>https://doi.org/10.1136/bmjnph-2022-000554</t>
  </si>
  <si>
    <t>https://pubmed.ncbi.nlm.nih.gov/38966096/</t>
  </si>
  <si>
    <t>Rising socioeconomic disparities in childhood overweight and obesity in Belgium</t>
  </si>
  <si>
    <t>https://doi.org/10.1186/s13690-024-01328-y</t>
  </si>
  <si>
    <t>https://pubmed.ncbi.nlm.nih.gov/38956737/</t>
  </si>
  <si>
    <t>Activity-based detection of synthetic cannabinoid receptor agonists in plant materials</t>
  </si>
  <si>
    <t>https://doi.org/10.1186/s12954-024-01044-4</t>
  </si>
  <si>
    <t>https://pubmed.ncbi.nlm.nih.gov/38951904/</t>
  </si>
  <si>
    <t>Anxiety and depression in people with post-COVID condition: a Belgian population-based cohort study three months after SARS-CoV-2 infection</t>
  </si>
  <si>
    <t>https://doi.org/10.1007/s00127-024-02655-9</t>
  </si>
  <si>
    <t>https://pubmed.ncbi.nlm.nih.gov/38819519/</t>
  </si>
  <si>
    <t>Prevalence of SARS-CoV-2 antibodies and associated factors in the adult population of Belgium: a general population cohort study between March 2021 and April 2022</t>
  </si>
  <si>
    <t>https://doi.org/10.1186/s13690-024-01298-1</t>
  </si>
  <si>
    <t>https://pubmed.ncbi.nlm.nih.gov/38750563/</t>
  </si>
  <si>
    <t>Cross-border mobility in the Meuse-Rhine Euroregion: impact of COVID-19 border restrictions on everyday activities and visiting social network members</t>
  </si>
  <si>
    <t>https://doi.org/10.3389/fpubh.2024.1281072</t>
  </si>
  <si>
    <t>https://pubmed.ncbi.nlm.nih.gov/38726234/</t>
  </si>
  <si>
    <t>Associations between the objective and perceived food environment and eating behavior in relation to socioeconomic status among adults in peri-urban settings: results from the CIVISANO study in Flanders, Belgium</t>
  </si>
  <si>
    <t>https://doi.org/10.1186/s12942-024-00369-4</t>
  </si>
  <si>
    <t>https://pubmed.ncbi.nlm.nih.gov/38724949/</t>
  </si>
  <si>
    <t>Seroprevalence of Japanese encephalitis virus in pig populations of Tamil Nadu, India: Exploring the tropical endemic link of virus</t>
  </si>
  <si>
    <t>https://doi.org/10.1016/j.cimid.2024.102189</t>
  </si>
  <si>
    <t>https://pubmed.ncbi.nlm.nih.gov/38718722/</t>
  </si>
  <si>
    <t xml:space="preserve">Food Environment in Burkina Faso: Review of Public Policies and Government Actions Using the Food-EPI Tool </t>
  </si>
  <si>
    <t>https://doi.org/10.1177/03795721241248214</t>
  </si>
  <si>
    <t>https://pubmed.ncbi.nlm.nih.gov/38716753/</t>
  </si>
  <si>
    <t>Does health literacy mediate the relationship between socioeconomic status and health related outcomes in the Belgian adult population?</t>
  </si>
  <si>
    <t>https://doi.org/10.1186/s12889-024-18676-7</t>
  </si>
  <si>
    <t>https://pubmed.ncbi.nlm.nih.gov/38678179/</t>
  </si>
  <si>
    <t>The future burden of type 2 diabetes in Belgium: a microsimulation model</t>
  </si>
  <si>
    <t>https://doi.org/10.1186/s12963-024-00328-y</t>
  </si>
  <si>
    <t>https://pubmed.ncbi.nlm.nih.gov/38654242/</t>
  </si>
  <si>
    <t>https://doi.org/10.1186/s12888-024-05696-1</t>
  </si>
  <si>
    <t>https://pubmed.ncbi.nlm.nih.gov/38553669/</t>
  </si>
  <si>
    <t>Are social pressure, bullying and low social support associated with depressive symptoms, self-harm and self-directed violence among adolescents? A cross-sectional study using a structural equation modeling approach</t>
  </si>
  <si>
    <t>10.1186/s13690-024-01444-9</t>
  </si>
  <si>
    <t>10.1186/s13690-024-01437-8</t>
  </si>
  <si>
    <t>Assessing the benefits of hypothetical air pollution reduction scenarios on stroke in Belgium: a g-computation approach</t>
  </si>
  <si>
    <t>Pelgrims, Ingrid; Van der Heyden, Johan; Devleesschauwer, Brecht; De Clercq, Eva</t>
  </si>
  <si>
    <t>Spatial variation in cause-specific premature mortality and its association with socioeconomic deprivation in Belgium from 2000 to 2019</t>
  </si>
  <si>
    <t>Otavova, Martina; Masquelier, Bruno; Faes, Christel; Devleesschauwer, Brecht; Schlüter, Benjamin-Samuel</t>
  </si>
  <si>
    <t>Local approach to attributable disease burden: a case study on air pollution and mortality in Belgium</t>
  </si>
  <si>
    <t>Pauwels, Arno; Demoury, Claire; De Clercq, Eva; Devleesschauwer, Brecht</t>
  </si>
  <si>
    <t>The economic burden of alcohol in Belgium: incremental healthcare costs and lost productivity</t>
  </si>
  <si>
    <t>The importance of including a mental health dimension in a multimorbidity indicator: an analysis of Belgian health survey data</t>
  </si>
  <si>
    <t>NEW</t>
  </si>
  <si>
    <t>https://pubmed.ncbi.nlm.nih.gov/39695533/</t>
  </si>
  <si>
    <t>https://doi.org/10.1186/s12889-024-21028-0</t>
  </si>
  <si>
    <t xml:space="preserve">SARS-CoV-2 infection and COVID-19 outcomes across mental disorders and the role of sex: A register-based study from Catalonia </t>
  </si>
  <si>
    <t>https://doi.org/10.1016/j.psychres.2024.116325</t>
  </si>
  <si>
    <t>https://pubmed.ncbi.nlm.nih.gov/39708616/</t>
  </si>
  <si>
    <t>BMJ Public Health</t>
  </si>
  <si>
    <t>Historic trends and future projections of the prevalence of adult excess weight in Scotland, 2003 to 2040: a Bayesian age-period-cohort modelling study</t>
  </si>
  <si>
    <t>De Pauw, Robby; Lakha, Fatim; Fletcher, Eilidh; Stockton, Diane L; Baird, Emma; Connolly, Suzanne; Devleesschauwer, Brecht; Wyper, Grant M A</t>
  </si>
  <si>
    <t>e70487</t>
  </si>
  <si>
    <t>10.1002/cam4.70487</t>
  </si>
  <si>
    <t>Implications of spatial and seasonal air pollution patterns, socioeconomic disparities, and 15-minute communities for achieving WHO air quality guidelines</t>
  </si>
  <si>
    <t>A scoping review of multiple deprivation indices in Europe</t>
  </si>
  <si>
    <t>Mogin, Gaelle; Gorasso, Vanessa; Idavain, Jane; Lepnurm, Maria; Delaunay-Havard, Sabrina; Kocbach, Anette; Buekers, Jurgen; Luyten, Axel; Devleesschauwer, Brecht; Baravelli, Carl Michael</t>
  </si>
  <si>
    <t>10.1136/bmjph-2024-002446</t>
  </si>
  <si>
    <t>e002446</t>
  </si>
  <si>
    <t>Estimating years of life lost due to premature mortality at regional level in France in 2017, using a probabilistic redistribution approach</t>
  </si>
  <si>
    <t>A framework for quantifying the multisectoral burden of animal disease to support decision making</t>
  </si>
  <si>
    <t>https://doi.org/10.3389/fvets.2025.1476505</t>
  </si>
  <si>
    <t>Nature Communications</t>
  </si>
  <si>
    <t>Nat. Commun.</t>
  </si>
  <si>
    <t>Changing life expectancy in European countries 1990-2021: a subanalysis of causes and risk factors from the Global Burden of Disease Study 2021</t>
  </si>
  <si>
    <t>GBD 2021 Europe Life Expectancy Collaborators</t>
  </si>
  <si>
    <t>The Lancet Public Health</t>
  </si>
  <si>
    <t>Lancet Public Health</t>
  </si>
  <si>
    <t>e172</t>
  </si>
  <si>
    <t>e188</t>
  </si>
  <si>
    <t xml:space="preserve">10.1016/S2468-2667(25)00009-X </t>
  </si>
  <si>
    <t>10.1093/eurpub/ckae211</t>
  </si>
  <si>
    <t>Understanding excess mortality during COVID in Belgium: the influence of pre-existing health status and social factors</t>
  </si>
  <si>
    <t>Van den Borre, Laure; Devleesschauwer, Brecht; Gadeyne, Sylvie; Vanthomme, Katrien; Willaert, Didier</t>
  </si>
  <si>
    <t>Arch. Public Healt</t>
  </si>
  <si>
    <t>10.1186/s13690-025-01499-2</t>
  </si>
  <si>
    <t>10.1101/2024.11.08.24316954v1</t>
  </si>
  <si>
    <t>Updating global estimates of pathogen-attributable diarrheal disease burden: A methodology and integrated protocol for a broad-scope systematic review of a syndrome with diverse infectious etiologies</t>
  </si>
  <si>
    <t>The importance of redistribution process of ill-defined deaths in national mortality database</t>
  </si>
  <si>
    <t>Scohy, Aline; Lesnik, Tina; Devleesschauwer, Brecht; Haneef, Romana</t>
  </si>
  <si>
    <t>Colston, Josh M; Flynn, Thomas G; Denton, Andrea H; Schiaffino, Francesca; Majowicz, Shannon E; Devleesschauwer, Brecht; Di Bari, Carlotta; Minato, Yuki; Kosek, Margaret N</t>
  </si>
  <si>
    <t>Assessing the burden of congenital toxoplasmosis in Burundi, 2020</t>
  </si>
  <si>
    <t>Minani, Salvator; Di Bari, Carlotta; Devleesschauwer, Brecht; Gasogo, Anastasie; Ntirandekura, Jean-Bosco; Gabriël, Sarah; Trevisan, Chiara</t>
  </si>
  <si>
    <t>Cannabis use is not associated with altered levels of physical activity: evidence from the repeated cross-sectional Belgian Health Interview Survey</t>
  </si>
  <si>
    <t>Journal of Cannabis Research</t>
  </si>
  <si>
    <t>J. Cannabis Res.</t>
  </si>
  <si>
    <t>10.1186/s42238-025-00278-8</t>
  </si>
  <si>
    <t>Burden of disease attributable to high body mass index in Belgium: a comparative risk assessment analysis</t>
  </si>
  <si>
    <t>Vandeninden, Bram; Devleesschauwer, Brecht; Otavova, Martina; Vanpoucke, Charlotte; Hooyberghs, Hans; Faes, Christel; Bouland, Catherine; De Clercq, Eva M.</t>
  </si>
  <si>
    <t>10.1038/s41598-025-98123-8</t>
  </si>
  <si>
    <t>e0012681</t>
  </si>
  <si>
    <t>e093018</t>
  </si>
  <si>
    <t>10.1136/bmjopen-2024-093018</t>
  </si>
  <si>
    <t>Towards a burden of disease research agenda</t>
  </si>
  <si>
    <t>Gorasso, Vanessa; Assunçao, Ricardo; Charalampous, Periklis; Haagsma, Juanita A; Hilderink, Henk; Santric-Milicevic, Milena; Pires, Sara Monteiro; Plass, Dietrich; von der Lippe, Elena; Wyper, Grant; Devleesschauwer, Brecht</t>
  </si>
  <si>
    <t>The attributable burden of disease due to cigarette smoking in Belgium: mortality patterns and trends from 2013 to 2021</t>
  </si>
  <si>
    <t>Burden of disease using Disability Adjusted Life Years in the Middle East and North Africa (MENA) region: protocol of a systematic review</t>
  </si>
  <si>
    <t>Nayani, Sarah; Guariguata, Leonor; Croes, Sarah; Schmidt, Masja; Gisle, Lydia; Vynckier, Pieter; Verhaeghe, Nick; De Pauw, Robby; Devleesschauwer, Brecht</t>
  </si>
  <si>
    <t>Post-acute healthcare expenditure following COVID-19 hospitalization and associated social inequalities in Belgium: a matched cohort study</t>
  </si>
  <si>
    <t>Boiy, Elin; Cavillot, Lisa; Devleesschauwer, Brecht; De Pauw, Robby; De Smedt, Delphine; Gadeyne, Sylvie; Gorasso, Vanessa; Schmidt, Masja; Vanthomme, Katrien; Verhaege, Nick; Van den Borre, Laura</t>
  </si>
  <si>
    <t>Impact assessment of local traffic interventions on disease burden: A case study on paediatric asthma incidence in two European cities</t>
  </si>
  <si>
    <t>10.1016/j.jth.2024.101953</t>
  </si>
  <si>
    <t>Quang, Hoang Vinh; Levecke, Bruno; Do Trung, Dun; Thi Lam, Binh Vu; Dung, Le Thuy; Nguyen, Thuy Duc; Tuyen, Thi Tran; Nguyen, Hien Thi Thu; HA, Ngoc Nguyen; Devleesschauwer, Brecht; Goossens, Kathy; de Jong, Theodorus; Paredis, Linda; De Wilde, Nathalie; Polman, Katja; Callens, Steven; Dorny, Pierre; Dermauw, Veronique</t>
  </si>
  <si>
    <t>e0013324</t>
  </si>
  <si>
    <t>10.1371/journal.pntd.0013324</t>
  </si>
  <si>
    <t>Mathew, Simy; Sherif, M; Al-Rifai, RH; Grivna, M; Östlundh, Linda; Devleesschauwer, Brecht; Ádám, Balazs</t>
  </si>
  <si>
    <t>e096214</t>
  </si>
  <si>
    <t>10.1136/bmjopen-2024-096214</t>
  </si>
  <si>
    <t>10.1186/s12889-025-23625-z</t>
  </si>
  <si>
    <t>Haneef, Romana; Scohy, Aline; Mahrouseh, Nour; Coudin, Elise; Constantinou, Panayotis; Rachas, Antoine; Lesnik, Tina; Wyper, Grant M A; Devleesschauwer, Brecht</t>
  </si>
  <si>
    <t>10.1186/s12889-025-23559-6</t>
  </si>
  <si>
    <t>10.1186/s13690-025-01652-x</t>
  </si>
  <si>
    <t>Pre-pandemic sub-national disparities in the disease burden of ischemic heart disease and stroke in France</t>
  </si>
  <si>
    <t>BMC Cardiovascular Disorders</t>
  </si>
  <si>
    <t>BMC Cardiovasc. Disord.</t>
  </si>
  <si>
    <t>Long-term ambient nitrogen dioxide exposure and COPD: a systematic review and quantitative synthesis</t>
  </si>
  <si>
    <t>Exposure-response relationship between transportation noise and cardiovascular disease outcomes: a systematic review and meta-regression analysis</t>
  </si>
  <si>
    <t>Gonzato, Elia; Haverkate, Tessa M I, Breitner-Busch, Susanne; Kocbach Bølling, Anette; Aasvang, Gunn Marit; Brauer, Michael; Garcia, Vanessa; Spearman, Sandra; Devleesschauwer, Brecht; Haagsma, Juanita A; Charalampous, Periklis</t>
  </si>
  <si>
    <t>Sub-national disparities in disease burden of diabetes mellitus and chronic kidney disease in France: A pre-pandemic analysis</t>
  </si>
  <si>
    <t>Years of Life Lost due to the 2015 Gorkha Earthquake in Nepal</t>
  </si>
  <si>
    <t>Tonnelier, Margo; Delforge, Damien; Bhandari, Manisha Panta; Devleesschauwer, Brecht; Haagsma, Juanita A; Wyper, Grant M A; Castin, Emilie; Speybroeck, Niko; Charalampous, Periklis</t>
  </si>
  <si>
    <t>Haverkate, Tessa M I; Charalampous, Periklis; Gonzato, Elia; Pereda, Ana; Garcia, Vanessa; Brauer, Michael; Devleesschauwer, Brecht; Breitner-Busch, Susanne; Haagsma, Juanita A</t>
  </si>
  <si>
    <t>Couchoud, Cécile; Raffray, Maxime; Mahrouseh, Nour; von der Lippe, Elena; Devleesschauwer, Brecht; Wyper, Grant M A; Haneef, Romana</t>
  </si>
  <si>
    <t>10.1016/j.actatropica.2025.107828</t>
  </si>
  <si>
    <t>10.1186/s12874-025-02661-8</t>
  </si>
  <si>
    <t>Social inequalities in COVID-19-related years of life lost in metropolitan France, 2020</t>
  </si>
  <si>
    <t>Haneef, Romana; Mahrouseh, Nour; Bessonneau, P; Vandentorren, Stephanie; Minier, N; Chin, F; Bruyère, Olivier; Devleesschauwer, Brecht; Wyper, Grant M A</t>
  </si>
  <si>
    <t>10.1186/s13690-025-01704-2</t>
  </si>
  <si>
    <t>Past trends, future forecasts and socio-demographic patterns of cigarette smoking in Belgium, 1997 to 2040</t>
  </si>
  <si>
    <t>10.1186/s13690-025-01694-1</t>
  </si>
  <si>
    <t>10.1016/j.puhe.2025.105981</t>
  </si>
  <si>
    <t>10.1093/eurpub/ckaf190</t>
  </si>
  <si>
    <t xml:space="preserve"> 10.1186/s13690-025-01767-1 </t>
  </si>
  <si>
    <t>Subtype-specific health and economic impact of delayed breast cancer diagnosis during the early COVID-19 pandemic in Belgium: a Markov model analysis</t>
  </si>
  <si>
    <t>10.1186/s13058-025-02207-2</t>
  </si>
  <si>
    <t>Breast Cancer Res.</t>
  </si>
  <si>
    <t>Breast Cancer Research</t>
  </si>
  <si>
    <t>Khan, Yasmine; Verhaeghe, Nick; Monten, Chris; Vanthomme, Katrien; Gadeyne, Sylvie; Devleesschauwer, Brecht; Verdoodt, Freija; Peacock, Hanna M; De Smedt, Delphine</t>
  </si>
  <si>
    <t>Social inequalities in in-hospital mortality following COVID-19 hospitalization in Belgium: a competing risk survival analysis</t>
  </si>
  <si>
    <t>BMC Health Services Research</t>
  </si>
  <si>
    <t>BMC Health. Serv. Res.</t>
  </si>
  <si>
    <t>Mahrouseh, Nour; Bonnet, Florian; Varga, Orsolya; Scohy, Aline; Bruyère, Olivier; Delpierre, Cyrille; Devleesschauwer, Brecht; Wyper, Grant M A;  Haneef, Romana</t>
  </si>
  <si>
    <t>Boiy, Elin; Cavillot, Lisa; Devleesschauwer, Brecht; De Smedt, Delphine; Gadeyne, Sylvie; Speybroeck, Niko; Van den Borre, Laura; Vanthomme, Katrien; Verhaege, Nick; De Pauw, Robby</t>
  </si>
  <si>
    <t>World Health Organization estimates of the global, regional, and national burden of seven foodborne bacterial and viral invasive enteric diseases and one foodborne intoxication, 2000-2021: an updated data synthesis</t>
  </si>
  <si>
    <t>Majowicz, Shannon E; Scallan Walter, Elaine; Pires, Sara M; Minato, Yuki; Founou, Luria; Devleesschauwer, Brecht; Di Bari, Carlotta; Havelaar, Arie H; Vaes, Louise; Estrada Garcia, Teresa; Roberts, Charlee; Gobena, Tesfaye; Kumar, Ashok; Al Natour, Fadi; Lake, Robin J; Nane, Gabriela F; Fernandez, Kim; Crump, John A; Kirk, Martyn D</t>
  </si>
  <si>
    <t>10.1007/s10389-025-02660-5</t>
  </si>
  <si>
    <t>World Health Organization estimates of the global, regional, and national foodborne burdens of 14 invasive parasitic diseases from 2000 to 2021: an updated data synthesis</t>
  </si>
  <si>
    <t>World Health Organization Estimates of the Global, Regional, and National Disease Burden of Nine Foodborne Chemicals, 2000-2021: An Updated Data Synthesis</t>
  </si>
  <si>
    <t>Jakobsen, Lea Sletting; Agudo, Antonio; Vaes, Louise; Al Huthiel, Mohammed; Al Natour, Fadi; Di Bari, Carlotta; Devleesschauwer, Brecht; Nane, Gabiela F; Pires, Sara M; Thomsen, Sofie Theresa; Redondo, Hernan Gomez; Gibb, Herman; Lake, Robin J; Havelaar, Arie H; Roberts, Charlee; Minato, Yuki; Ingenbleek, Luc</t>
  </si>
  <si>
    <t>Robertson, Lucy J; Minato, Yuki; Devleesschauwer, Brecht; Di Bari, Carlotta; Vaes, Louise; Keddy, Karen H; Sripa, Banchob; Fernandez, Kim; Pires, Sara M; Majowicz, Shannon E; Lake, Robin J; Roberts, Charlee; Nane, Gabriela F; Kretzschmar, Mirjam; Mughini-Gras, Lapo ; Rostami, Ali; Carabin, Hélène; Budke, Christine M; Donadeu, Meritxell; Torgerson, Paul R</t>
  </si>
  <si>
    <t>Journal of Exposure Science &amp; Environmental Epidemiology</t>
  </si>
  <si>
    <t>J. Expo. Sci. Environ. Epidemiol.</t>
  </si>
  <si>
    <t>10.1038/s41370-026-00856-9</t>
  </si>
  <si>
    <t>10.1186/s12963-026-00467-4</t>
  </si>
  <si>
    <t>10.1186/s12889-026-27054-4</t>
  </si>
  <si>
    <t>10.1186/s12963-026-00464-7</t>
  </si>
  <si>
    <t>The role of vaccination, underlying health conditions, and working in healthcare in the socioeconomic disparities in COVID-19 hospitalization: a mediation analysis using interventional effect models</t>
  </si>
  <si>
    <t>10.1186/s12879-026-12907-5</t>
  </si>
  <si>
    <t>10.1093/eurpub/ckaf254</t>
  </si>
  <si>
    <t>10.1186/s12913-025-13949-2</t>
  </si>
  <si>
    <t>Updated Estimates of the Global, Regional and National Burden, and Etiology of Diarrheal Diseases Transmissible via Food: A Systematic Review and Meta-Analytical Modelling Study for the World Health Organization</t>
  </si>
  <si>
    <t>Colston, Josh M; Devleesschauwer, Brecht; Flynn, Thomas; Schiaffino, Francesca; Revathi,Adhvikaa Ambikapathi; Hossain, Nasif; Chen, Yen Ting; Meister, Danielle; Bagherian, Ava; Binggeli, Olivia; Zheng, Emily; David, Nhiya; Walter, Elaine Scallan; Kirk, Martyn D; Di Bari, Carlotta; Lake, Robin; Havelaar, Arie H; Pires, Sara M; Robertson; Lucy J; Minato, Yuki; Majowicz, Shannon E; Kosek, Margaret N</t>
  </si>
  <si>
    <t xml:space="preserve"> 10.64898/2026.01.26.26344508</t>
  </si>
  <si>
    <t>From fish to fork: An analysis of the fishmeal feed chain &amp; presence of Anisakid material</t>
  </si>
  <si>
    <t xml:space="preserve"> Food Waterborne Parasitol.</t>
  </si>
  <si>
    <t>e00328</t>
  </si>
  <si>
    <t xml:space="preserve">10.1016/j.fawpar.2026.e00328 </t>
  </si>
  <si>
    <t>World Health Organization Estimates of the Global, Regional, and National Burden of 14 Foodborne Diarrhoeal Enteric Hazards, 2000-2021: An Updated Data Synthesis</t>
  </si>
  <si>
    <t>World Health Organization Estimates of the Global, Regional, and National Burden of 42 Foodborne Infectious and Chemical Hazards, 2000-2021</t>
  </si>
  <si>
    <t>Lake, Robin J; Devleesschauwer, Brecht; Majowicz, Shannon E; Robertson, Lucy J; Jakobsen, Lea Sletting; Agudo, Antonio; Pires, Sara M; Kirk, Martyn D; Scallan Walter, Elaine; Keddy, Karen H; Di Bari, Carlotta; Vaes, Louise; Havelaar, Arie H; Roberts, Charlee; Gobena, Tesfaye; Kretzschmar, Mirjam; Nane, Gabriela F; Hoffmann, Sandra; Mughini-Gras, Lapo; Sripa, Banchob; Kubota, Kunihiro; Founou, Luria Lesley; Bai, Li; Al Huthiel, Mohammed; Rachmawati, Tety; Garcia, Teresa Estrada; Kumar, Ashok; Al Natour, Fadi; Jaffee, Steven; Henson, Spencer; Ingenbleek, Luc; Kumapley, Richard; Borghi, Elaine; Minato, Yuki</t>
  </si>
  <si>
    <t xml:space="preserve">Majowicz, Shannon E; Colston, Josh M; Kirk, Martyn D; Pires, Sara M; Minato, Yuki; Founou, Luria; Devleesschauwer, Brecht; Di Bari, Carlotta; Garcia, Teresa Estrada; Vaes, Louise; Havelaar, Arie H; Roberts, Charlee; Gobena, Tesfaye; Kumar, Ashok; Al Natour, Fadi; Lake, Robin J; Nane, Gabriela F; Roberston, Lucy J; Fernandez, Kim; Scallan Walter, Elaine; Kosek, Margaret </t>
  </si>
  <si>
    <t>Burden of disease attributable to dietary risk factors in Belgium: direct and indirect health impacts and the potential of a protein shift</t>
  </si>
  <si>
    <t>Dénos, Claire; Gorasso, Vanessa; Boone, Lieselot; Cooreman-Algoed, Margot; Dewulf, Jo; Achten, Wouter M J; Devleesschauwer, Brecht; Moyersoen, Isabelle; Vandevijvere, Stefanie</t>
  </si>
  <si>
    <t>A standardised approach to systematically select risk-outcome pairs in environmental burden of disease research</t>
  </si>
  <si>
    <t>Haverkate, Tessa M I; Devleesschauwer, Brecht; Aasvang, Gunn Marit; Assunção, Ricardo; Breitner-Busch, Susanne; Buekers, Jurgen; Castro Fernández, Alberto; Gorasso, Vanessa; Hassen, Hamid Y; Kocbach Bølling, Anette; Martins, Carla; Charalampous, Periklis; Haagsma, Juanita A</t>
  </si>
  <si>
    <t>Monzo, Luca; Mahrouseh, Nour; von der Lippe, Elena; Devleesschauwer, Brecht; Wyper, Grant M A; Haneef, Romana</t>
  </si>
  <si>
    <t>10.1186/s12872-026-05960-0</t>
  </si>
  <si>
    <t>The plight of the Monaco microstate in the GBD 2023 study</t>
  </si>
  <si>
    <t>Wyper, Grant M A; Cuschieri, Sarah; Devleesschauwer, Brecht</t>
  </si>
  <si>
    <t>10.1016/S0140-6736(26)00042-5</t>
  </si>
  <si>
    <t>10542</t>
  </si>
  <si>
    <t xml:space="preserve">
Prevalence and risk factors related to Fasciola spp. transmission in north-Central Vietnam: A cross-sectional study in multiple host and environmental compartments</t>
  </si>
  <si>
    <t>Vinh, H Q; Levecke, Bruno; Dung, D T; Binh, V T L; Hien, N T T; Ha, N N; Thanh, D T H; Devleesschauwer, Brecht; de Jong, Theo; Paredis, L; De Wilde, Nathalie; Casaert, Stijn; Polman, Katja; Callens, Steven; Dorny, Pierre; Dermauw, Veronique</t>
  </si>
  <si>
    <t>10.1016/j.onehlt.2026.101417</t>
  </si>
  <si>
    <t>Schotte,Faust; Saelens, Ganna; Devleesschauwer, Brecht; Gabriël, Sarah</t>
  </si>
  <si>
    <t>Post-acute organ complications within one year following COVID-19 hospitalization and related socioeconomic inequalities</t>
  </si>
  <si>
    <t>Cavillot, Lisa; Van den Borre, Laura; Ghattas, Jinane; Boiy, Elin; van Loenhout, Joris; Hubin, Pierre; Smith, Pierre; De Smedt, Delphine; Vanthomme, Katrien; Gadeyne, Sylvie; De Pauw, Robby; Speybroeck, Niko; Devleesschauwer, Brecht</t>
  </si>
  <si>
    <t>Guariguata, Leonor; Nayani, Sarah; Croes, Sarah; Schmidt, Masja; Gisle, Lydia; Vynckier, Pieter; Verhaeghe, Nick; De Pauw, Robby; Devleesschauwer, Brecht</t>
  </si>
  <si>
    <t>Social inequalities in cause-specific premature mortality in rural and urban France: a pre-pandemic population attributable fraction analysis</t>
  </si>
  <si>
    <t>Listeriosis trends in 26 EU/EEA countries, 2010–2022</t>
  </si>
  <si>
    <t>Speybroeck, Niko; Devleesschauwer, Brecht; Charalampous, Periklis; Delforge, Damien; Sanaa, Moez; Brandt,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</si>
</sst>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rgb="FF7F7F7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56">
    <xf numFmtId="0" fontId="0" fillId="0" borderId="0" xfId="0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vertical="center"/>
    </xf>
    <xf numFmtId="1" fontId="0" fillId="0" borderId="0" xfId="0" applyNumberFormat="1" applyAlignment="1">
      <alignment horizontal="right" vertical="center"/>
    </xf>
    <xf numFmtId="0" fontId="1" fillId="2" borderId="0" xfId="1" applyAlignment="1">
      <alignment vertical="center"/>
    </xf>
    <xf numFmtId="0" fontId="1" fillId="2" borderId="0" xfId="1" applyAlignment="1">
      <alignment horizontal="right" vertical="center"/>
    </xf>
    <xf numFmtId="0" fontId="0" fillId="0" borderId="0" xfId="0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14" fontId="2" fillId="3" borderId="0" xfId="2" applyNumberFormat="1" applyAlignment="1">
      <alignment horizontal="right" vertical="center"/>
    </xf>
    <xf numFmtId="0" fontId="2" fillId="3" borderId="0" xfId="2" applyAlignment="1">
      <alignment horizontal="right" vertical="center"/>
    </xf>
    <xf numFmtId="164" fontId="2" fillId="3" borderId="0" xfId="2" applyNumberFormat="1" applyAlignment="1">
      <alignment horizontal="right" vertical="center"/>
    </xf>
    <xf numFmtId="49" fontId="0" fillId="0" borderId="0" xfId="0" applyNumberFormat="1" applyAlignment="1">
      <alignment vertical="center"/>
    </xf>
    <xf numFmtId="49" fontId="2" fillId="3" borderId="0" xfId="2" applyNumberFormat="1" applyAlignment="1">
      <alignment vertical="center"/>
    </xf>
    <xf numFmtId="0" fontId="2" fillId="3" borderId="0" xfId="2" applyAlignment="1">
      <alignment vertical="center"/>
    </xf>
    <xf numFmtId="14" fontId="0" fillId="0" borderId="0" xfId="0" applyNumberFormat="1" applyAlignment="1">
      <alignment vertical="center"/>
    </xf>
    <xf numFmtId="0" fontId="1" fillId="2" borderId="0" xfId="1" applyFont="1" applyFill="1" applyBorder="1" applyAlignment="1">
      <alignment vertical="center"/>
    </xf>
    <xf numFmtId="17" fontId="0" fillId="0" borderId="0" xfId="0" quotePrefix="1" applyNumberFormat="1"/>
    <xf numFmtId="0" fontId="0" fillId="0" borderId="1" xfId="0" applyBorder="1" applyAlignment="1">
      <alignment horizontal="right" vertical="center"/>
    </xf>
    <xf numFmtId="14" fontId="0" fillId="0" borderId="1" xfId="0" applyNumberFormat="1" applyBorder="1" applyAlignment="1">
      <alignment vertical="center"/>
    </xf>
    <xf numFmtId="14" fontId="1" fillId="2" borderId="0" xfId="1" applyNumberFormat="1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14" fontId="0" fillId="0" borderId="0" xfId="0" applyNumberFormat="1" applyBorder="1" applyAlignment="1">
      <alignment vertical="center"/>
    </xf>
    <xf numFmtId="0" fontId="2" fillId="3" borderId="1" xfId="2" applyBorder="1" applyAlignment="1">
      <alignment horizontal="right" vertical="center"/>
    </xf>
    <xf numFmtId="14" fontId="2" fillId="3" borderId="1" xfId="2" applyNumberFormat="1" applyBorder="1" applyAlignment="1">
      <alignment horizontal="right" vertical="center"/>
    </xf>
    <xf numFmtId="14" fontId="0" fillId="0" borderId="0" xfId="0" applyNumberFormat="1" applyBorder="1" applyAlignment="1">
      <alignment horizontal="right" vertical="center"/>
    </xf>
    <xf numFmtId="49" fontId="0" fillId="0" borderId="1" xfId="0" applyNumberFormat="1" applyBorder="1" applyAlignment="1">
      <alignment horizontal="right" vertical="center"/>
    </xf>
    <xf numFmtId="49" fontId="0" fillId="0" borderId="0" xfId="0" applyNumberFormat="1" applyBorder="1" applyAlignment="1">
      <alignment horizontal="right" vertical="center"/>
    </xf>
    <xf numFmtId="0" fontId="2" fillId="3" borderId="0" xfId="2" applyBorder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4" fontId="2" fillId="3" borderId="0" xfId="2" applyNumberFormat="1" applyBorder="1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0" fontId="1" fillId="2" borderId="0" xfId="1" applyBorder="1" applyAlignment="1">
      <alignment horizontal="right" vertical="center"/>
    </xf>
    <xf numFmtId="49" fontId="1" fillId="2" borderId="0" xfId="1" applyNumberFormat="1" applyBorder="1" applyAlignment="1">
      <alignment horizontal="right" vertical="center"/>
    </xf>
    <xf numFmtId="164" fontId="1" fillId="2" borderId="0" xfId="1" applyNumberFormat="1" applyBorder="1" applyAlignment="1">
      <alignment vertical="center"/>
    </xf>
    <xf numFmtId="14" fontId="0" fillId="0" borderId="0" xfId="0" applyNumberFormat="1" applyBorder="1" applyAlignment="1">
      <alignment horizontal="righ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5" fillId="0" borderId="0" xfId="4"/>
    <xf numFmtId="0" fontId="3" fillId="0" borderId="0" xfId="3" applyAlignment="1">
      <alignment horizontal="center"/>
    </xf>
    <xf numFmtId="0" fontId="6" fillId="0" borderId="0" xfId="3" applyFont="1" applyAlignment="1">
      <alignment horizontal="center"/>
    </xf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3" fillId="0" borderId="0" xfId="3" applyAlignment="1">
      <alignment horizontal="left"/>
    </xf>
    <xf numFmtId="1" fontId="7" fillId="0" borderId="0" xfId="0" applyNumberFormat="1" applyFont="1" applyAlignment="1">
      <alignment horizontal="right"/>
    </xf>
  </cellXfs>
  <cellStyles count="5">
    <cellStyle name="Bad" xfId="2" builtinId="27"/>
    <cellStyle name="Explanatory Text" xfId="3" builtinId="53"/>
    <cellStyle name="Hyperlink" xfId="4" builtinId="8"/>
    <cellStyle name="Neutral" xfId="1" builtinId="28"/>
    <cellStyle name="Normal" xfId="0" builtinId="0"/>
  </cellStyles>
  <dxfs count="64"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numFmt numFmtId="165" formatCode="0.0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30" formatCode="@"/>
      <alignment horizontal="right" vertical="center" textRotation="0" wrapText="0" indent="0" justifyLastLine="0" shrinkToFit="0" readingOrder="0"/>
    </dxf>
    <dxf>
      <numFmt numFmtId="164" formatCode="0.000"/>
      <alignment horizontal="general" vertical="center" textRotation="0" wrapText="0" indent="0" justifyLastLine="0" shrinkToFit="0" readingOrder="0"/>
    </dxf>
    <dxf>
      <numFmt numFmtId="19" formatCode="d/mm/yyyy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30" formatCode="@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30" formatCode="@"/>
      <alignment horizontal="right" vertical="center" textRotation="0" wrapText="0" indent="0" justifyLastLine="0" shrinkToFit="0" readingOrder="0"/>
    </dxf>
    <dxf>
      <numFmt numFmtId="164" formatCode="0.000"/>
      <alignment horizontal="general" vertical="center" textRotation="0" wrapText="0" indent="0" justifyLastLine="0" shrinkToFit="0" readingOrder="0"/>
    </dxf>
    <dxf>
      <numFmt numFmtId="19" formatCode="d/mm/yyyy"/>
      <alignment horizontal="right" vertical="center" textRotation="0" wrapText="0" indent="0" justifyLastLine="0" shrinkToFit="0" readingOrder="0"/>
    </dxf>
    <dxf>
      <numFmt numFmtId="166" formatCode="dd/mm/yyyy"/>
      <alignment horizontal="right" vertical="center" textRotation="0" wrapText="0" indent="0" justifyLastLine="0" shrinkToFit="0" readingOrder="0"/>
    </dxf>
    <dxf>
      <numFmt numFmtId="19" formatCode="d/mm/yyyy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30" formatCode="@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1" displayName="Tabel1" ref="A1:U301" totalsRowShown="0" headerRowDxfId="63" dataDxfId="62">
  <autoFilter ref="A1:U301" xr:uid="{00000000-0009-0000-0100-000001000000}"/>
  <sortState xmlns:xlrd2="http://schemas.microsoft.com/office/spreadsheetml/2017/richdata2" ref="A2:U300">
    <sortCondition ref="K1:K300"/>
  </sortState>
  <tableColumns count="21">
    <tableColumn id="1" xr3:uid="{00000000-0010-0000-0000-000001000000}" name="title" dataDxfId="61"/>
    <tableColumn id="2" xr3:uid="{00000000-0010-0000-0000-000002000000}" name="authors" dataDxfId="60"/>
    <tableColumn id="3" xr3:uid="{00000000-0010-0000-0000-000003000000}" name="journal_full" dataDxfId="59"/>
    <tableColumn id="11" xr3:uid="{00000000-0010-0000-0000-00000B000000}" name="journal_short" dataDxfId="58"/>
    <tableColumn id="6" xr3:uid="{00000000-0010-0000-0000-000006000000}" name="year" dataDxfId="57"/>
    <tableColumn id="4" xr3:uid="{00000000-0010-0000-0000-000004000000}" name="volume" dataDxfId="56"/>
    <tableColumn id="5" xr3:uid="{00000000-0010-0000-0000-000005000000}" name="issue" dataDxfId="55"/>
    <tableColumn id="7" xr3:uid="{00000000-0010-0000-0000-000007000000}" name="eID" dataDxfId="54"/>
    <tableColumn id="8" xr3:uid="{00000000-0010-0000-0000-000008000000}" name="from" dataDxfId="53"/>
    <tableColumn id="9" xr3:uid="{00000000-0010-0000-0000-000009000000}" name="to" dataDxfId="52"/>
    <tableColumn id="10" xr3:uid="{00000000-0010-0000-0000-00000A000000}" name="date" dataDxfId="51"/>
    <tableColumn id="19" xr3:uid="{00000000-0010-0000-0000-000013000000}" name="date_submitted" dataDxfId="50" dataCellStyle="Neutral"/>
    <tableColumn id="14" xr3:uid="{00000000-0010-0000-0000-00000E000000}" name="classification" dataDxfId="49"/>
    <tableColumn id="12" xr3:uid="{00000000-0010-0000-0000-00000C000000}" name="IF" dataDxfId="48"/>
    <tableColumn id="13" xr3:uid="{00000000-0010-0000-0000-00000D000000}" name="DOI" dataDxfId="47"/>
    <tableColumn id="15" xr3:uid="{00000000-0010-0000-0000-00000F000000}" name="WoS" dataDxfId="46"/>
    <tableColumn id="16" xr3:uid="{00000000-0010-0000-0000-000010000000}" name="rank" dataDxfId="45"/>
    <tableColumn id="17" xr3:uid="{00000000-0010-0000-0000-000011000000}" name="quartile" dataDxfId="44"/>
    <tableColumn id="18" xr3:uid="{00000000-0010-0000-0000-000012000000}" name="category" dataDxfId="43"/>
    <tableColumn id="20" xr3:uid="{00000000-0010-0000-0000-000014000000}" name="SC" dataDxfId="42"/>
    <tableColumn id="21" xr3:uid="{00000000-0010-0000-0000-000015000000}" name="UGent" dataDxfId="4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14" displayName="Tabel14" ref="A1:J12" totalsRowShown="0" headerRowDxfId="40">
  <autoFilter ref="A1:J12" xr:uid="{00000000-0009-0000-0100-000003000000}"/>
  <sortState xmlns:xlrd2="http://schemas.microsoft.com/office/spreadsheetml/2017/richdata2" ref="A2:N50">
    <sortCondition ref="H1:H50"/>
  </sortState>
  <tableColumns count="10">
    <tableColumn id="1" xr3:uid="{00000000-0010-0000-0100-000001000000}" name="title" dataDxfId="39"/>
    <tableColumn id="2" xr3:uid="{00000000-0010-0000-0100-000002000000}" name="authors" dataDxfId="38"/>
    <tableColumn id="3" xr3:uid="{00000000-0010-0000-0100-000003000000}" name="editors" dataDxfId="37"/>
    <tableColumn id="11" xr3:uid="{00000000-0010-0000-0100-00000B000000}" name="book" dataDxfId="36"/>
    <tableColumn id="6" xr3:uid="{00000000-0010-0000-0100-000006000000}" name="year" dataDxfId="35"/>
    <tableColumn id="8" xr3:uid="{00000000-0010-0000-0100-000008000000}" name="from" dataDxfId="34"/>
    <tableColumn id="9" xr3:uid="{00000000-0010-0000-0100-000009000000}" name="to" dataDxfId="33"/>
    <tableColumn id="10" xr3:uid="{00000000-0010-0000-0100-00000A000000}" name="date" dataDxfId="32"/>
    <tableColumn id="12" xr3:uid="{00000000-0010-0000-0100-00000C000000}" name="IF" dataDxfId="31"/>
    <tableColumn id="13" xr3:uid="{00000000-0010-0000-0100-00000D000000}" name="DOI" dataDxfId="3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el13" displayName="Tabel13" ref="A1:G16" totalsRowShown="0" headerRowDxfId="29" dataDxfId="28">
  <autoFilter ref="A1:G16" xr:uid="{00000000-0009-0000-0100-000002000000}"/>
  <sortState xmlns:xlrd2="http://schemas.microsoft.com/office/spreadsheetml/2017/richdata2" ref="A2:G14">
    <sortCondition ref="F1:F14"/>
  </sortState>
  <tableColumns count="7">
    <tableColumn id="1" xr3:uid="{00000000-0010-0000-0200-000001000000}" name="title" dataDxfId="27"/>
    <tableColumn id="2" xr3:uid="{00000000-0010-0000-0200-000002000000}" name="authors" dataDxfId="26"/>
    <tableColumn id="3" xr3:uid="{00000000-0010-0000-0200-000003000000}" name="journal_full" dataDxfId="25"/>
    <tableColumn id="11" xr3:uid="{00000000-0010-0000-0200-00000B000000}" name="journal_short" dataDxfId="24"/>
    <tableColumn id="4" xr3:uid="{00000000-0010-0000-0200-000004000000}" name="doi_preprint" dataDxfId="23"/>
    <tableColumn id="10" xr3:uid="{00000000-0010-0000-0200-00000A000000}" name="date" dataDxfId="22"/>
    <tableColumn id="12" xr3:uid="{00000000-0010-0000-0200-00000C000000}" name="COUNT" dataDxfId="21">
      <calculatedColumnFormula>TODAY()-F2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135" displayName="Tabel135" ref="A1:F5" totalsRowShown="0" headerRowDxfId="20" dataDxfId="19">
  <autoFilter ref="A1:F5" xr:uid="{00000000-0009-0000-0100-000004000000}"/>
  <sortState xmlns:xlrd2="http://schemas.microsoft.com/office/spreadsheetml/2017/richdata2" ref="A2:K14">
    <sortCondition ref="E1:E14"/>
  </sortState>
  <tableColumns count="6">
    <tableColumn id="1" xr3:uid="{00000000-0010-0000-0300-000001000000}" name="title" dataDxfId="18"/>
    <tableColumn id="2" xr3:uid="{00000000-0010-0000-0300-000002000000}" name="authors" dataDxfId="17"/>
    <tableColumn id="3" xr3:uid="{00000000-0010-0000-0300-000003000000}" name="journal_full" dataDxfId="16"/>
    <tableColumn id="11" xr3:uid="{00000000-0010-0000-0300-00000B000000}" name="journal_short" dataDxfId="15"/>
    <tableColumn id="10" xr3:uid="{00000000-0010-0000-0300-00000A000000}" name="date" dataDxfId="14"/>
    <tableColumn id="12" xr3:uid="{00000000-0010-0000-0300-00000C000000}" name="COUNT" dataDxfId="13">
      <calculatedColumnFormula>(TODAY()-E2)/365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bmed.ncbi.nlm.nih.gov/38951904/" TargetMode="External"/><Relationship Id="rId21" Type="http://schemas.openxmlformats.org/officeDocument/2006/relationships/hyperlink" Target="https://doi.org/10.1093/eurpub/ckad085" TargetMode="External"/><Relationship Id="rId42" Type="http://schemas.openxmlformats.org/officeDocument/2006/relationships/hyperlink" Target="https://doi.org/10.1186/s13690-023-01187-z" TargetMode="External"/><Relationship Id="rId63" Type="http://schemas.openxmlformats.org/officeDocument/2006/relationships/hyperlink" Target="https://doi.org/10.1186/s12940-024-01050-w" TargetMode="External"/><Relationship Id="rId84" Type="http://schemas.openxmlformats.org/officeDocument/2006/relationships/hyperlink" Target="https://doi.org/10.1080/09637486.2024.2415126" TargetMode="External"/><Relationship Id="rId138" Type="http://schemas.openxmlformats.org/officeDocument/2006/relationships/hyperlink" Target="https://doi.org/10.1016/j.psychres.2024.116325" TargetMode="External"/><Relationship Id="rId107" Type="http://schemas.openxmlformats.org/officeDocument/2006/relationships/hyperlink" Target="https://doi.org/10.3390/ejihpe14070136" TargetMode="External"/><Relationship Id="rId11" Type="http://schemas.openxmlformats.org/officeDocument/2006/relationships/hyperlink" Target="https://doi.org/10.3390/ijerph20054628" TargetMode="External"/><Relationship Id="rId32" Type="http://schemas.openxmlformats.org/officeDocument/2006/relationships/hyperlink" Target="https://doi.org/10.1186/s12885-023-11174-w" TargetMode="External"/><Relationship Id="rId37" Type="http://schemas.openxmlformats.org/officeDocument/2006/relationships/hyperlink" Target="https://pubmed.ncbi.nlm.nih.gov/37501782/" TargetMode="External"/><Relationship Id="rId53" Type="http://schemas.openxmlformats.org/officeDocument/2006/relationships/hyperlink" Target="https://doi.org/10.1002/dta.3625" TargetMode="External"/><Relationship Id="rId58" Type="http://schemas.openxmlformats.org/officeDocument/2006/relationships/hyperlink" Target="https://doi.org/10.1093/jssam/smac031" TargetMode="External"/><Relationship Id="rId74" Type="http://schemas.openxmlformats.org/officeDocument/2006/relationships/hyperlink" Target="https://pubmed.ncbi.nlm.nih.gov/39663980/" TargetMode="External"/><Relationship Id="rId79" Type="http://schemas.openxmlformats.org/officeDocument/2006/relationships/hyperlink" Target="https://doi.org/10.1186/s12916-024-03719-y" TargetMode="External"/><Relationship Id="rId102" Type="http://schemas.openxmlformats.org/officeDocument/2006/relationships/hyperlink" Target="https://doi.org/10.1186/s12889-024-19389-7" TargetMode="External"/><Relationship Id="rId123" Type="http://schemas.openxmlformats.org/officeDocument/2006/relationships/hyperlink" Target="https://pubmed.ncbi.nlm.nih.gov/38726234/" TargetMode="External"/><Relationship Id="rId128" Type="http://schemas.openxmlformats.org/officeDocument/2006/relationships/hyperlink" Target="https://doi.org/10.1177/03795721241248214" TargetMode="External"/><Relationship Id="rId5" Type="http://schemas.openxmlformats.org/officeDocument/2006/relationships/hyperlink" Target="https://doi.org/10.1002/nop2.1575" TargetMode="External"/><Relationship Id="rId90" Type="http://schemas.openxmlformats.org/officeDocument/2006/relationships/hyperlink" Target="https://doi.org/10.1186/s13690-024-01405-2" TargetMode="External"/><Relationship Id="rId95" Type="http://schemas.openxmlformats.org/officeDocument/2006/relationships/hyperlink" Target="https://pubmed.ncbi.nlm.nih.gov/39354657/" TargetMode="External"/><Relationship Id="rId22" Type="http://schemas.openxmlformats.org/officeDocument/2006/relationships/hyperlink" Target="https://pubmed.ncbi.nlm.nih.gov/37263589/" TargetMode="External"/><Relationship Id="rId27" Type="http://schemas.openxmlformats.org/officeDocument/2006/relationships/hyperlink" Target="https://doi.org/10.1186/s12913-023-09704-0" TargetMode="External"/><Relationship Id="rId43" Type="http://schemas.openxmlformats.org/officeDocument/2006/relationships/hyperlink" Target="https://pubmed.ncbi.nlm.nih.gov/37770954/" TargetMode="External"/><Relationship Id="rId48" Type="http://schemas.openxmlformats.org/officeDocument/2006/relationships/hyperlink" Target="https://doi.org/10.1016/j.prevetmed.2023.106077" TargetMode="External"/><Relationship Id="rId64" Type="http://schemas.openxmlformats.org/officeDocument/2006/relationships/hyperlink" Target="https://doi.org/10.1038/s43016-024-00920-3" TargetMode="External"/><Relationship Id="rId69" Type="http://schemas.openxmlformats.org/officeDocument/2006/relationships/hyperlink" Target="https://pubmed.ncbi.nlm.nih.gov/38474628/" TargetMode="External"/><Relationship Id="rId113" Type="http://schemas.openxmlformats.org/officeDocument/2006/relationships/hyperlink" Target="https://pubmed.ncbi.nlm.nih.gov/38966096/" TargetMode="External"/><Relationship Id="rId118" Type="http://schemas.openxmlformats.org/officeDocument/2006/relationships/hyperlink" Target="https://doi.org/10.1007/s00127-024-02655-9" TargetMode="External"/><Relationship Id="rId134" Type="http://schemas.openxmlformats.org/officeDocument/2006/relationships/hyperlink" Target="https://doi.org/10.1186/s12888-024-05696-1" TargetMode="External"/><Relationship Id="rId139" Type="http://schemas.openxmlformats.org/officeDocument/2006/relationships/hyperlink" Target="https://pubmed.ncbi.nlm.nih.gov/39708616/" TargetMode="External"/><Relationship Id="rId80" Type="http://schemas.openxmlformats.org/officeDocument/2006/relationships/hyperlink" Target="https://doi.org/10.1016/j.josat.2024.209561" TargetMode="External"/><Relationship Id="rId85" Type="http://schemas.openxmlformats.org/officeDocument/2006/relationships/hyperlink" Target="https://pubmed.ncbi.nlm.nih.gov/39463036/" TargetMode="External"/><Relationship Id="rId12" Type="http://schemas.openxmlformats.org/officeDocument/2006/relationships/hyperlink" Target="https://pubmed.ncbi.nlm.nih.gov/36901637/" TargetMode="External"/><Relationship Id="rId17" Type="http://schemas.openxmlformats.org/officeDocument/2006/relationships/hyperlink" Target="https://doi.org/10.1016/j.zefq.2023.03.011" TargetMode="External"/><Relationship Id="rId33" Type="http://schemas.openxmlformats.org/officeDocument/2006/relationships/hyperlink" Target="https://pubmed.ncbi.nlm.nih.gov/37480028/" TargetMode="External"/><Relationship Id="rId38" Type="http://schemas.openxmlformats.org/officeDocument/2006/relationships/hyperlink" Target="https://doi.org/10.1007/s13679-023-00524-1" TargetMode="External"/><Relationship Id="rId59" Type="http://schemas.openxmlformats.org/officeDocument/2006/relationships/hyperlink" Target="https://pubmed.ncbi.nlm.nih.gov/37975066/" TargetMode="External"/><Relationship Id="rId103" Type="http://schemas.openxmlformats.org/officeDocument/2006/relationships/hyperlink" Target="https://pubmed.ncbi.nlm.nih.gov/39075409/" TargetMode="External"/><Relationship Id="rId108" Type="http://schemas.openxmlformats.org/officeDocument/2006/relationships/hyperlink" Target="https://pubmed.ncbi.nlm.nih.gov/39040122/" TargetMode="External"/><Relationship Id="rId124" Type="http://schemas.openxmlformats.org/officeDocument/2006/relationships/hyperlink" Target="https://doi.org/10.1186/s12942-024-00369-4" TargetMode="External"/><Relationship Id="rId129" Type="http://schemas.openxmlformats.org/officeDocument/2006/relationships/hyperlink" Target="https://pubmed.ncbi.nlm.nih.gov/38716753/" TargetMode="External"/><Relationship Id="rId54" Type="http://schemas.openxmlformats.org/officeDocument/2006/relationships/hyperlink" Target="https://doi.org/10.3389/ijph.2023.1605798" TargetMode="External"/><Relationship Id="rId70" Type="http://schemas.openxmlformats.org/officeDocument/2006/relationships/hyperlink" Target="https://pubmed.ncbi.nlm.nih.gov/38485058/" TargetMode="External"/><Relationship Id="rId75" Type="http://schemas.openxmlformats.org/officeDocument/2006/relationships/hyperlink" Target="https://pubmed.ncbi.nlm.nih.gov/39632907/" TargetMode="External"/><Relationship Id="rId91" Type="http://schemas.openxmlformats.org/officeDocument/2006/relationships/hyperlink" Target="https://pubmed.ncbi.nlm.nih.gov/39380107/" TargetMode="External"/><Relationship Id="rId96" Type="http://schemas.openxmlformats.org/officeDocument/2006/relationships/hyperlink" Target="https://doi.org/10.1016/j.appet.2024.107609" TargetMode="External"/><Relationship Id="rId140" Type="http://schemas.openxmlformats.org/officeDocument/2006/relationships/hyperlink" Target="https://doi.org/10.3389/fvets.2025.1476505" TargetMode="External"/><Relationship Id="rId1" Type="http://schemas.openxmlformats.org/officeDocument/2006/relationships/hyperlink" Target="https://doi.org/10.1016/j.socscimed.2022.115595" TargetMode="External"/><Relationship Id="rId6" Type="http://schemas.openxmlformats.org/officeDocument/2006/relationships/hyperlink" Target="https://pubmed.ncbi.nlm.nih.gov/36565163/" TargetMode="External"/><Relationship Id="rId23" Type="http://schemas.openxmlformats.org/officeDocument/2006/relationships/hyperlink" Target="https://doi.org/10.1093/heapro/daad028" TargetMode="External"/><Relationship Id="rId28" Type="http://schemas.openxmlformats.org/officeDocument/2006/relationships/hyperlink" Target="https://doi.org/10.1007/s12144-023-04907-4" TargetMode="External"/><Relationship Id="rId49" Type="http://schemas.openxmlformats.org/officeDocument/2006/relationships/hyperlink" Target="https://pubmed.ncbi.nlm.nih.gov/37976968/" TargetMode="External"/><Relationship Id="rId114" Type="http://schemas.openxmlformats.org/officeDocument/2006/relationships/hyperlink" Target="https://doi.org/10.1186/s13690-024-01328-y" TargetMode="External"/><Relationship Id="rId119" Type="http://schemas.openxmlformats.org/officeDocument/2006/relationships/hyperlink" Target="https://pubmed.ncbi.nlm.nih.gov/38819519/" TargetMode="External"/><Relationship Id="rId44" Type="http://schemas.openxmlformats.org/officeDocument/2006/relationships/hyperlink" Target="https://pubmed.ncbi.nlm.nih.gov/37815372/" TargetMode="External"/><Relationship Id="rId60" Type="http://schemas.openxmlformats.org/officeDocument/2006/relationships/hyperlink" Target="https://doi.org/10.1016/j.ijmedinf.2024.105340" TargetMode="External"/><Relationship Id="rId65" Type="http://schemas.openxmlformats.org/officeDocument/2006/relationships/hyperlink" Target="https://pubmed.ncbi.nlm.nih.gov/38356074/" TargetMode="External"/><Relationship Id="rId81" Type="http://schemas.openxmlformats.org/officeDocument/2006/relationships/hyperlink" Target="https://pubmed.ncbi.nlm.nih.gov/39500442/" TargetMode="External"/><Relationship Id="rId86" Type="http://schemas.openxmlformats.org/officeDocument/2006/relationships/hyperlink" Target="https://doi.org/10.1017/s1368980024002155" TargetMode="External"/><Relationship Id="rId130" Type="http://schemas.openxmlformats.org/officeDocument/2006/relationships/hyperlink" Target="https://doi.org/10.1186/s12889-024-18676-7" TargetMode="External"/><Relationship Id="rId135" Type="http://schemas.openxmlformats.org/officeDocument/2006/relationships/hyperlink" Target="https://pubmed.ncbi.nlm.nih.gov/38553669/" TargetMode="External"/><Relationship Id="rId13" Type="http://schemas.openxmlformats.org/officeDocument/2006/relationships/hyperlink" Target="https://doi.org/10.1186/s13690-023-01102-6" TargetMode="External"/><Relationship Id="rId18" Type="http://schemas.openxmlformats.org/officeDocument/2006/relationships/hyperlink" Target="https://pubmed.ncbi.nlm.nih.gov/37208272/" TargetMode="External"/><Relationship Id="rId39" Type="http://schemas.openxmlformats.org/officeDocument/2006/relationships/hyperlink" Target="https://pubmed.ncbi.nlm.nih.gov/37594616/" TargetMode="External"/><Relationship Id="rId109" Type="http://schemas.openxmlformats.org/officeDocument/2006/relationships/hyperlink" Target="https://doi.org/10.1016/j.lansea.2024.100428" TargetMode="External"/><Relationship Id="rId34" Type="http://schemas.openxmlformats.org/officeDocument/2006/relationships/hyperlink" Target="https://pubmed.ncbi.nlm.nih.gov/37496747/" TargetMode="External"/><Relationship Id="rId50" Type="http://schemas.openxmlformats.org/officeDocument/2006/relationships/hyperlink" Target="https://doi.org/10.1038/s41430-023-01379-4" TargetMode="External"/><Relationship Id="rId55" Type="http://schemas.openxmlformats.org/officeDocument/2006/relationships/hyperlink" Target="https://pubmed.ncbi.nlm.nih.gov/38033763/" TargetMode="External"/><Relationship Id="rId76" Type="http://schemas.openxmlformats.org/officeDocument/2006/relationships/hyperlink" Target="https://doi.org/10.3389/fpubh.2024.1467121" TargetMode="External"/><Relationship Id="rId97" Type="http://schemas.openxmlformats.org/officeDocument/2006/relationships/hyperlink" Target="https://pubmed.ncbi.nlm.nih.gov/39094845/" TargetMode="External"/><Relationship Id="rId104" Type="http://schemas.openxmlformats.org/officeDocument/2006/relationships/hyperlink" Target="https://doi.org/10.1186/s12992-024-01060-w" TargetMode="External"/><Relationship Id="rId120" Type="http://schemas.openxmlformats.org/officeDocument/2006/relationships/hyperlink" Target="https://doi.org/10.1186/s13690-024-01298-1" TargetMode="External"/><Relationship Id="rId125" Type="http://schemas.openxmlformats.org/officeDocument/2006/relationships/hyperlink" Target="https://pubmed.ncbi.nlm.nih.gov/38724949/" TargetMode="External"/><Relationship Id="rId141" Type="http://schemas.openxmlformats.org/officeDocument/2006/relationships/printerSettings" Target="../printerSettings/printerSettings3.bin"/><Relationship Id="rId7" Type="http://schemas.openxmlformats.org/officeDocument/2006/relationships/hyperlink" Target="https://doi.org/10.1017/s1368980023000058" TargetMode="External"/><Relationship Id="rId71" Type="http://schemas.openxmlformats.org/officeDocument/2006/relationships/hyperlink" Target="https://doi.org/10.1016/j.appet.2024.107291" TargetMode="External"/><Relationship Id="rId92" Type="http://schemas.openxmlformats.org/officeDocument/2006/relationships/hyperlink" Target="https://pubmed.ncbi.nlm.nih.gov/39368780/" TargetMode="External"/><Relationship Id="rId2" Type="http://schemas.openxmlformats.org/officeDocument/2006/relationships/hyperlink" Target="https://pubmed.ncbi.nlm.nih.gov/36495770/" TargetMode="External"/><Relationship Id="rId29" Type="http://schemas.openxmlformats.org/officeDocument/2006/relationships/hyperlink" Target="https://doi.org/10.1186/s13690-023-01134-y" TargetMode="External"/><Relationship Id="rId24" Type="http://schemas.openxmlformats.org/officeDocument/2006/relationships/hyperlink" Target="https://pubmed.ncbi.nlm.nih.gov/37184579/" TargetMode="External"/><Relationship Id="rId40" Type="http://schemas.openxmlformats.org/officeDocument/2006/relationships/hyperlink" Target="https://pubmed.ncbi.nlm.nih.gov/37608383/" TargetMode="External"/><Relationship Id="rId45" Type="http://schemas.openxmlformats.org/officeDocument/2006/relationships/hyperlink" Target="https://doi.org/10.1080/17843286.2023.2268916" TargetMode="External"/><Relationship Id="rId66" Type="http://schemas.openxmlformats.org/officeDocument/2006/relationships/hyperlink" Target="https://pubmed.ncbi.nlm.nih.gov/38383082/" TargetMode="External"/><Relationship Id="rId87" Type="http://schemas.openxmlformats.org/officeDocument/2006/relationships/hyperlink" Target="https://pubmed.ncbi.nlm.nih.gov/39444290/" TargetMode="External"/><Relationship Id="rId110" Type="http://schemas.openxmlformats.org/officeDocument/2006/relationships/hyperlink" Target="https://doi.org/10.1186/s12937-024-00973-x" TargetMode="External"/><Relationship Id="rId115" Type="http://schemas.openxmlformats.org/officeDocument/2006/relationships/hyperlink" Target="https://pubmed.ncbi.nlm.nih.gov/38956737/" TargetMode="External"/><Relationship Id="rId131" Type="http://schemas.openxmlformats.org/officeDocument/2006/relationships/hyperlink" Target="https://pubmed.ncbi.nlm.nih.gov/38678179/" TargetMode="External"/><Relationship Id="rId136" Type="http://schemas.openxmlformats.org/officeDocument/2006/relationships/hyperlink" Target="https://pubmed.ncbi.nlm.nih.gov/39695533/" TargetMode="External"/><Relationship Id="rId61" Type="http://schemas.openxmlformats.org/officeDocument/2006/relationships/hyperlink" Target="https://pubmed.ncbi.nlm.nih.gov/38244479/" TargetMode="External"/><Relationship Id="rId82" Type="http://schemas.openxmlformats.org/officeDocument/2006/relationships/hyperlink" Target="https://doi.org/10.1016/j.onehlt.2024.100917" TargetMode="External"/><Relationship Id="rId19" Type="http://schemas.openxmlformats.org/officeDocument/2006/relationships/hyperlink" Target="https://doi.org/10.1186/s40795-023-00721-0" TargetMode="External"/><Relationship Id="rId14" Type="http://schemas.openxmlformats.org/officeDocument/2006/relationships/hyperlink" Target="https://pubmed.ncbi.nlm.nih.gov/37179369/" TargetMode="External"/><Relationship Id="rId30" Type="http://schemas.openxmlformats.org/officeDocument/2006/relationships/hyperlink" Target="https://pubmed.ncbi.nlm.nih.gov/37391854/" TargetMode="External"/><Relationship Id="rId35" Type="http://schemas.openxmlformats.org/officeDocument/2006/relationships/hyperlink" Target="https://doi.org/10.12688/hrbopenres.13553.2" TargetMode="External"/><Relationship Id="rId56" Type="http://schemas.openxmlformats.org/officeDocument/2006/relationships/hyperlink" Target="https://doi.org/10.1016/j.drugalcdep.2023.111017" TargetMode="External"/><Relationship Id="rId77" Type="http://schemas.openxmlformats.org/officeDocument/2006/relationships/hyperlink" Target="https://pubmed.ncbi.nlm.nih.gov/39507669/" TargetMode="External"/><Relationship Id="rId100" Type="http://schemas.openxmlformats.org/officeDocument/2006/relationships/hyperlink" Target="https://pubmed.ncbi.nlm.nih.gov/39085705/" TargetMode="External"/><Relationship Id="rId105" Type="http://schemas.openxmlformats.org/officeDocument/2006/relationships/hyperlink" Target="https://pubmed.ncbi.nlm.nih.gov/39068420/" TargetMode="External"/><Relationship Id="rId126" Type="http://schemas.openxmlformats.org/officeDocument/2006/relationships/hyperlink" Target="https://doi.org/10.1016/j.cimid.2024.102189" TargetMode="External"/><Relationship Id="rId8" Type="http://schemas.openxmlformats.org/officeDocument/2006/relationships/hyperlink" Target="https://pubmed.ncbi.nlm.nih.gov/36644895/" TargetMode="External"/><Relationship Id="rId51" Type="http://schemas.openxmlformats.org/officeDocument/2006/relationships/hyperlink" Target="https://pubmed.ncbi.nlm.nih.gov/38093098/" TargetMode="External"/><Relationship Id="rId72" Type="http://schemas.openxmlformats.org/officeDocument/2006/relationships/hyperlink" Target="https://doi.org/10.1017/s1368980024002428" TargetMode="External"/><Relationship Id="rId93" Type="http://schemas.openxmlformats.org/officeDocument/2006/relationships/hyperlink" Target="https://doi.org/10.1016/j.appet.2024.107702" TargetMode="External"/><Relationship Id="rId98" Type="http://schemas.openxmlformats.org/officeDocument/2006/relationships/hyperlink" Target="https://doi.org/10.3389/fnut.2024.1420323" TargetMode="External"/><Relationship Id="rId121" Type="http://schemas.openxmlformats.org/officeDocument/2006/relationships/hyperlink" Target="https://pubmed.ncbi.nlm.nih.gov/38750563/" TargetMode="External"/><Relationship Id="rId3" Type="http://schemas.openxmlformats.org/officeDocument/2006/relationships/hyperlink" Target="https://doi.org/10.3390/ijerph20010564" TargetMode="External"/><Relationship Id="rId25" Type="http://schemas.openxmlformats.org/officeDocument/2006/relationships/hyperlink" Target="https://doi.org/10.1177/17579759221126155" TargetMode="External"/><Relationship Id="rId46" Type="http://schemas.openxmlformats.org/officeDocument/2006/relationships/hyperlink" Target="https://doi.org/10.1186/s13690-023-01213-0" TargetMode="External"/><Relationship Id="rId67" Type="http://schemas.openxmlformats.org/officeDocument/2006/relationships/hyperlink" Target="https://doi.org/10.1016/s2665-9913(24)00003-1" TargetMode="External"/><Relationship Id="rId116" Type="http://schemas.openxmlformats.org/officeDocument/2006/relationships/hyperlink" Target="https://doi.org/10.1186/s12954-024-01044-4" TargetMode="External"/><Relationship Id="rId137" Type="http://schemas.openxmlformats.org/officeDocument/2006/relationships/hyperlink" Target="https://doi.org/10.1186/s12889-024-21028-0" TargetMode="External"/><Relationship Id="rId20" Type="http://schemas.openxmlformats.org/officeDocument/2006/relationships/hyperlink" Target="https://pubmed.ncbi.nlm.nih.gov/37245052/" TargetMode="External"/><Relationship Id="rId41" Type="http://schemas.openxmlformats.org/officeDocument/2006/relationships/hyperlink" Target="https://doi.org/10.1186/s13690-023-01175-3" TargetMode="External"/><Relationship Id="rId62" Type="http://schemas.openxmlformats.org/officeDocument/2006/relationships/hyperlink" Target="https://pubmed.ncbi.nlm.nih.gov/38267996/" TargetMode="External"/><Relationship Id="rId83" Type="http://schemas.openxmlformats.org/officeDocument/2006/relationships/hyperlink" Target="https://pubmed.ncbi.nlm.nih.gov/39497949/" TargetMode="External"/><Relationship Id="rId88" Type="http://schemas.openxmlformats.org/officeDocument/2006/relationships/hyperlink" Target="https://doi.org/10.1186/s12913-024-11700-x" TargetMode="External"/><Relationship Id="rId111" Type="http://schemas.openxmlformats.org/officeDocument/2006/relationships/hyperlink" Target="https://pubmed.ncbi.nlm.nih.gov/38982483/" TargetMode="External"/><Relationship Id="rId132" Type="http://schemas.openxmlformats.org/officeDocument/2006/relationships/hyperlink" Target="https://doi.org/10.1186/s12963-024-00328-y" TargetMode="External"/><Relationship Id="rId15" Type="http://schemas.openxmlformats.org/officeDocument/2006/relationships/hyperlink" Target="https://doi.org/10.1002/jcop.23053" TargetMode="External"/><Relationship Id="rId36" Type="http://schemas.openxmlformats.org/officeDocument/2006/relationships/hyperlink" Target="https://doi.org/10.1016/j.ssmph.2023.101456" TargetMode="External"/><Relationship Id="rId57" Type="http://schemas.openxmlformats.org/officeDocument/2006/relationships/hyperlink" Target="https://pubmed.ncbi.nlm.nih.gov/37995391/" TargetMode="External"/><Relationship Id="rId106" Type="http://schemas.openxmlformats.org/officeDocument/2006/relationships/hyperlink" Target="https://pubmed.ncbi.nlm.nih.gov/39056651/" TargetMode="External"/><Relationship Id="rId127" Type="http://schemas.openxmlformats.org/officeDocument/2006/relationships/hyperlink" Target="https://pubmed.ncbi.nlm.nih.gov/38718722/" TargetMode="External"/><Relationship Id="rId10" Type="http://schemas.openxmlformats.org/officeDocument/2006/relationships/hyperlink" Target="https://pubmed.ncbi.nlm.nih.gov/36843241/" TargetMode="External"/><Relationship Id="rId31" Type="http://schemas.openxmlformats.org/officeDocument/2006/relationships/hyperlink" Target="https://doi.org/10.1186/s13690-023-01118-y" TargetMode="External"/><Relationship Id="rId52" Type="http://schemas.openxmlformats.org/officeDocument/2006/relationships/hyperlink" Target="https://pubmed.ncbi.nlm.nih.gov/38086368/" TargetMode="External"/><Relationship Id="rId73" Type="http://schemas.openxmlformats.org/officeDocument/2006/relationships/hyperlink" Target="https://doi.org/10.1038/s41598-024-79327-w" TargetMode="External"/><Relationship Id="rId78" Type="http://schemas.openxmlformats.org/officeDocument/2006/relationships/hyperlink" Target="https://pubmed.ncbi.nlm.nih.gov/39501283/" TargetMode="External"/><Relationship Id="rId94" Type="http://schemas.openxmlformats.org/officeDocument/2006/relationships/hyperlink" Target="https://doi.org/10.1017/s136898002400140x" TargetMode="External"/><Relationship Id="rId99" Type="http://schemas.openxmlformats.org/officeDocument/2006/relationships/hyperlink" Target="https://pubmed.ncbi.nlm.nih.gov/39091684/" TargetMode="External"/><Relationship Id="rId101" Type="http://schemas.openxmlformats.org/officeDocument/2006/relationships/hyperlink" Target="https://doi.org/10.1007/s10067-024-07071-7" TargetMode="External"/><Relationship Id="rId122" Type="http://schemas.openxmlformats.org/officeDocument/2006/relationships/hyperlink" Target="https://doi.org/10.3389/fpubh.2024.1281072" TargetMode="External"/><Relationship Id="rId4" Type="http://schemas.openxmlformats.org/officeDocument/2006/relationships/hyperlink" Target="https://pubmed.ncbi.nlm.nih.gov/36612884/" TargetMode="External"/><Relationship Id="rId9" Type="http://schemas.openxmlformats.org/officeDocument/2006/relationships/hyperlink" Target="https://doi.org/10.1111/1747-0080.12800" TargetMode="External"/><Relationship Id="rId26" Type="http://schemas.openxmlformats.org/officeDocument/2006/relationships/hyperlink" Target="https://pubmed.ncbi.nlm.nih.gov/36321592/" TargetMode="External"/><Relationship Id="rId47" Type="http://schemas.openxmlformats.org/officeDocument/2006/relationships/hyperlink" Target="https://pubmed.ncbi.nlm.nih.gov/37968754/" TargetMode="External"/><Relationship Id="rId68" Type="http://schemas.openxmlformats.org/officeDocument/2006/relationships/hyperlink" Target="https://doi.org/10.3390/molecules29051116" TargetMode="External"/><Relationship Id="rId89" Type="http://schemas.openxmlformats.org/officeDocument/2006/relationships/hyperlink" Target="https://pubmed.ncbi.nlm.nih.gov/39402597/" TargetMode="External"/><Relationship Id="rId112" Type="http://schemas.openxmlformats.org/officeDocument/2006/relationships/hyperlink" Target="https://doi.org/10.1136/bmjnph-2022-000554" TargetMode="External"/><Relationship Id="rId133" Type="http://schemas.openxmlformats.org/officeDocument/2006/relationships/hyperlink" Target="https://pubmed.ncbi.nlm.nih.gov/38654242/" TargetMode="External"/><Relationship Id="rId16" Type="http://schemas.openxmlformats.org/officeDocument/2006/relationships/hyperlink" Target="https://pubmed.ncbi.nlm.nih.gov/3717228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1"/>
  <sheetViews>
    <sheetView tabSelected="1" topLeftCell="A268" zoomScale="90" zoomScaleNormal="90" workbookViewId="0">
      <selection activeCell="A301" sqref="A301"/>
    </sheetView>
  </sheetViews>
  <sheetFormatPr defaultRowHeight="14.4" x14ac:dyDescent="0.3"/>
  <cols>
    <col min="1" max="2" width="30.6640625" customWidth="1"/>
    <col min="3" max="3" width="13.5546875" customWidth="1"/>
    <col min="4" max="4" width="15.109375" customWidth="1"/>
    <col min="5" max="5" width="8.88671875" customWidth="1"/>
    <col min="6" max="6" width="9.88671875" style="2" customWidth="1"/>
    <col min="7" max="7" width="8.88671875" style="1" customWidth="1"/>
    <col min="8" max="8" width="9.88671875" style="2" customWidth="1"/>
    <col min="9" max="10" width="8.88671875" style="2" customWidth="1"/>
    <col min="11" max="12" width="11.5546875" style="2" customWidth="1"/>
    <col min="13" max="13" width="14.88671875" style="2" customWidth="1"/>
    <col min="14" max="14" width="10.6640625" customWidth="1"/>
    <col min="15" max="15" width="33.33203125" style="2" customWidth="1"/>
    <col min="16" max="18" width="8.88671875" customWidth="1"/>
  </cols>
  <sheetData>
    <row r="1" spans="1:21" s="3" customFormat="1" x14ac:dyDescent="0.3">
      <c r="A1" s="5" t="s">
        <v>0</v>
      </c>
      <c r="B1" s="5" t="s">
        <v>1</v>
      </c>
      <c r="C1" s="5" t="s">
        <v>10</v>
      </c>
      <c r="D1" s="5" t="s">
        <v>11</v>
      </c>
      <c r="E1" s="5" t="s">
        <v>7</v>
      </c>
      <c r="F1" s="5" t="s">
        <v>2</v>
      </c>
      <c r="G1" s="6" t="s">
        <v>3</v>
      </c>
      <c r="H1" s="5" t="s">
        <v>4</v>
      </c>
      <c r="I1" s="5" t="s">
        <v>5</v>
      </c>
      <c r="J1" s="5" t="s">
        <v>6</v>
      </c>
      <c r="K1" s="5" t="s">
        <v>8</v>
      </c>
      <c r="L1" s="16" t="s">
        <v>1170</v>
      </c>
      <c r="M1" s="5" t="s">
        <v>272</v>
      </c>
      <c r="N1" s="5" t="s">
        <v>32</v>
      </c>
      <c r="O1" s="5" t="s">
        <v>175</v>
      </c>
      <c r="P1" s="16" t="s">
        <v>293</v>
      </c>
      <c r="Q1" s="17" t="s">
        <v>294</v>
      </c>
      <c r="R1" s="16" t="s">
        <v>295</v>
      </c>
      <c r="S1" s="16" t="s">
        <v>392</v>
      </c>
      <c r="T1" s="16" t="s">
        <v>599</v>
      </c>
      <c r="U1" s="16" t="s">
        <v>600</v>
      </c>
    </row>
    <row r="2" spans="1:21" x14ac:dyDescent="0.3">
      <c r="A2" s="7" t="s">
        <v>38</v>
      </c>
      <c r="B2" s="7" t="s">
        <v>47</v>
      </c>
      <c r="C2" s="7" t="s">
        <v>57</v>
      </c>
      <c r="D2" s="7" t="s">
        <v>58</v>
      </c>
      <c r="E2" s="7">
        <v>2011</v>
      </c>
      <c r="F2" s="32">
        <v>51</v>
      </c>
      <c r="G2" s="38">
        <v>184</v>
      </c>
      <c r="H2" s="32" t="s">
        <v>14</v>
      </c>
      <c r="I2" s="32">
        <v>192</v>
      </c>
      <c r="J2" s="32">
        <v>195</v>
      </c>
      <c r="K2" s="36">
        <v>40817</v>
      </c>
      <c r="L2" s="36"/>
      <c r="M2" s="36" t="s">
        <v>273</v>
      </c>
      <c r="N2" s="11">
        <v>0.19700000000000001</v>
      </c>
      <c r="O2" s="19"/>
      <c r="P2" s="7"/>
      <c r="Q2" s="23" t="s">
        <v>296</v>
      </c>
      <c r="R2" s="7" t="s">
        <v>297</v>
      </c>
      <c r="S2" s="7"/>
      <c r="T2" s="7"/>
      <c r="U2" s="7" t="s">
        <v>603</v>
      </c>
    </row>
    <row r="3" spans="1:21" x14ac:dyDescent="0.3">
      <c r="A3" s="7" t="s">
        <v>40</v>
      </c>
      <c r="B3" s="7" t="s">
        <v>49</v>
      </c>
      <c r="C3" s="7" t="s">
        <v>53</v>
      </c>
      <c r="D3" s="7" t="s">
        <v>54</v>
      </c>
      <c r="E3" s="7">
        <v>2012</v>
      </c>
      <c r="F3" s="32">
        <v>95</v>
      </c>
      <c r="G3" s="38">
        <v>6</v>
      </c>
      <c r="H3" s="32" t="s">
        <v>14</v>
      </c>
      <c r="I3" s="32">
        <v>2977</v>
      </c>
      <c r="J3" s="32">
        <v>2987</v>
      </c>
      <c r="K3" s="10">
        <v>41061</v>
      </c>
      <c r="L3" s="10"/>
      <c r="M3" s="36" t="s">
        <v>273</v>
      </c>
      <c r="N3" s="11">
        <v>2.5659999999999998</v>
      </c>
      <c r="O3" s="19" t="s">
        <v>212</v>
      </c>
      <c r="P3" s="7"/>
      <c r="Q3" s="23" t="s">
        <v>298</v>
      </c>
      <c r="R3" s="7" t="s">
        <v>299</v>
      </c>
      <c r="S3" s="7"/>
      <c r="T3" s="7"/>
      <c r="U3" s="7" t="s">
        <v>603</v>
      </c>
    </row>
    <row r="4" spans="1:21" x14ac:dyDescent="0.3">
      <c r="A4" s="7" t="s">
        <v>39</v>
      </c>
      <c r="B4" s="7" t="s">
        <v>48</v>
      </c>
      <c r="C4" s="7" t="s">
        <v>55</v>
      </c>
      <c r="D4" s="7" t="s">
        <v>56</v>
      </c>
      <c r="E4" s="7">
        <v>2012</v>
      </c>
      <c r="F4" s="32">
        <v>17</v>
      </c>
      <c r="G4" s="38">
        <v>8</v>
      </c>
      <c r="H4" s="32" t="s">
        <v>14</v>
      </c>
      <c r="I4" s="32">
        <v>1019</v>
      </c>
      <c r="J4" s="32">
        <v>1022</v>
      </c>
      <c r="K4" s="36">
        <v>41122</v>
      </c>
      <c r="L4" s="36"/>
      <c r="M4" s="36" t="s">
        <v>273</v>
      </c>
      <c r="N4" s="11">
        <v>2.9380000000000002</v>
      </c>
      <c r="O4" s="19" t="s">
        <v>213</v>
      </c>
      <c r="P4" s="7"/>
      <c r="Q4" s="23" t="s">
        <v>300</v>
      </c>
      <c r="R4" s="7" t="s">
        <v>299</v>
      </c>
      <c r="S4" s="7"/>
      <c r="T4" s="7"/>
      <c r="U4" s="7" t="s">
        <v>603</v>
      </c>
    </row>
    <row r="5" spans="1:21" x14ac:dyDescent="0.3">
      <c r="A5" s="7" t="s">
        <v>41</v>
      </c>
      <c r="B5" s="7" t="s">
        <v>50</v>
      </c>
      <c r="C5" s="7" t="s">
        <v>51</v>
      </c>
      <c r="D5" s="7" t="s">
        <v>52</v>
      </c>
      <c r="E5" s="7">
        <v>2012</v>
      </c>
      <c r="F5" s="32">
        <v>26</v>
      </c>
      <c r="G5" s="38">
        <v>4</v>
      </c>
      <c r="H5" s="32" t="s">
        <v>14</v>
      </c>
      <c r="I5" s="32">
        <v>361</v>
      </c>
      <c r="J5" s="32">
        <v>371</v>
      </c>
      <c r="K5" s="36">
        <v>41244</v>
      </c>
      <c r="L5" s="36"/>
      <c r="M5" s="36" t="s">
        <v>273</v>
      </c>
      <c r="N5" s="11">
        <v>2.2080000000000002</v>
      </c>
      <c r="O5" s="19" t="s">
        <v>214</v>
      </c>
      <c r="P5" s="7"/>
      <c r="Q5" s="23" t="s">
        <v>301</v>
      </c>
      <c r="R5" s="7" t="s">
        <v>299</v>
      </c>
      <c r="S5" s="7"/>
      <c r="T5" s="7"/>
      <c r="U5" s="7" t="s">
        <v>603</v>
      </c>
    </row>
    <row r="6" spans="1:21" x14ac:dyDescent="0.3">
      <c r="A6" s="7" t="s">
        <v>36</v>
      </c>
      <c r="B6" s="7" t="s">
        <v>45</v>
      </c>
      <c r="C6" s="7" t="s">
        <v>59</v>
      </c>
      <c r="D6" s="7" t="s">
        <v>60</v>
      </c>
      <c r="E6" s="7">
        <v>2013</v>
      </c>
      <c r="F6" s="18">
        <v>193</v>
      </c>
      <c r="G6" s="19" t="s">
        <v>62</v>
      </c>
      <c r="H6" s="18" t="s">
        <v>14</v>
      </c>
      <c r="I6" s="18">
        <v>172</v>
      </c>
      <c r="J6" s="18">
        <v>178</v>
      </c>
      <c r="K6" s="10">
        <v>41364</v>
      </c>
      <c r="L6" s="10"/>
      <c r="M6" s="10" t="s">
        <v>273</v>
      </c>
      <c r="N6" s="11">
        <v>2.5449999999999999</v>
      </c>
      <c r="O6" s="19" t="s">
        <v>215</v>
      </c>
      <c r="P6" s="7"/>
      <c r="Q6" s="23" t="s">
        <v>302</v>
      </c>
      <c r="R6" s="7" t="s">
        <v>299</v>
      </c>
      <c r="S6" s="7"/>
      <c r="T6" s="7"/>
      <c r="U6" s="7" t="s">
        <v>603</v>
      </c>
    </row>
    <row r="7" spans="1:21" x14ac:dyDescent="0.3">
      <c r="A7" s="7" t="s">
        <v>19</v>
      </c>
      <c r="B7" s="7" t="s">
        <v>24</v>
      </c>
      <c r="C7" s="7" t="s">
        <v>27</v>
      </c>
      <c r="D7" s="7" t="s">
        <v>30</v>
      </c>
      <c r="E7" s="7">
        <v>2013</v>
      </c>
      <c r="F7" s="32">
        <v>11</v>
      </c>
      <c r="G7" s="38">
        <v>24</v>
      </c>
      <c r="H7" s="32" t="s">
        <v>14</v>
      </c>
      <c r="I7" s="32">
        <v>221</v>
      </c>
      <c r="J7" s="32">
        <v>224</v>
      </c>
      <c r="K7" s="10">
        <v>41395</v>
      </c>
      <c r="L7" s="10"/>
      <c r="M7" s="41" t="s">
        <v>274</v>
      </c>
      <c r="N7" s="22" t="s">
        <v>14</v>
      </c>
      <c r="O7" s="19"/>
      <c r="P7" s="7"/>
      <c r="Q7" s="24" t="s">
        <v>14</v>
      </c>
      <c r="R7" s="25" t="s">
        <v>14</v>
      </c>
      <c r="S7" s="7"/>
      <c r="T7" s="7"/>
      <c r="U7" s="7" t="s">
        <v>603</v>
      </c>
    </row>
    <row r="8" spans="1:21" x14ac:dyDescent="0.3">
      <c r="A8" s="7" t="s">
        <v>35</v>
      </c>
      <c r="B8" s="7" t="s">
        <v>44</v>
      </c>
      <c r="C8" s="7" t="s">
        <v>61</v>
      </c>
      <c r="D8" s="7" t="s">
        <v>61</v>
      </c>
      <c r="E8" s="7">
        <v>2013</v>
      </c>
      <c r="F8" s="18">
        <v>140</v>
      </c>
      <c r="G8" s="19" t="s">
        <v>63</v>
      </c>
      <c r="H8" s="18" t="s">
        <v>14</v>
      </c>
      <c r="I8" s="18">
        <v>986</v>
      </c>
      <c r="J8" s="18">
        <v>998</v>
      </c>
      <c r="K8" s="10">
        <v>41456</v>
      </c>
      <c r="L8" s="10"/>
      <c r="M8" s="10" t="s">
        <v>273</v>
      </c>
      <c r="N8" s="11">
        <v>2.35</v>
      </c>
      <c r="O8" s="19" t="s">
        <v>192</v>
      </c>
      <c r="P8" s="7"/>
      <c r="Q8" s="23" t="s">
        <v>303</v>
      </c>
      <c r="R8" s="7" t="s">
        <v>304</v>
      </c>
      <c r="S8" s="7"/>
      <c r="T8" s="7"/>
      <c r="U8" s="7" t="s">
        <v>603</v>
      </c>
    </row>
    <row r="9" spans="1:21" x14ac:dyDescent="0.3">
      <c r="A9" s="7" t="s">
        <v>37</v>
      </c>
      <c r="B9" s="7" t="s">
        <v>46</v>
      </c>
      <c r="C9" s="7" t="s">
        <v>12</v>
      </c>
      <c r="D9" s="7" t="s">
        <v>13</v>
      </c>
      <c r="E9" s="7">
        <v>2013</v>
      </c>
      <c r="F9" s="32">
        <v>58</v>
      </c>
      <c r="G9" s="38">
        <v>5</v>
      </c>
      <c r="H9" s="32" t="s">
        <v>14</v>
      </c>
      <c r="I9" s="32">
        <v>791</v>
      </c>
      <c r="J9" s="32">
        <v>795</v>
      </c>
      <c r="K9" s="36">
        <v>41548</v>
      </c>
      <c r="L9" s="36"/>
      <c r="M9" s="36" t="s">
        <v>273</v>
      </c>
      <c r="N9" s="11">
        <v>1.966</v>
      </c>
      <c r="O9" s="19" t="s">
        <v>193</v>
      </c>
      <c r="P9" s="7"/>
      <c r="Q9" s="23" t="s">
        <v>305</v>
      </c>
      <c r="R9" s="7" t="s">
        <v>304</v>
      </c>
      <c r="S9" s="7"/>
      <c r="T9" s="7"/>
      <c r="U9" s="7" t="s">
        <v>603</v>
      </c>
    </row>
    <row r="10" spans="1:21" x14ac:dyDescent="0.3">
      <c r="A10" s="7" t="s">
        <v>33</v>
      </c>
      <c r="B10" s="7" t="s">
        <v>42</v>
      </c>
      <c r="C10" s="7" t="s">
        <v>68</v>
      </c>
      <c r="D10" s="7" t="s">
        <v>67</v>
      </c>
      <c r="E10" s="7">
        <v>2013</v>
      </c>
      <c r="F10" s="32">
        <v>10</v>
      </c>
      <c r="G10" s="38" t="s">
        <v>69</v>
      </c>
      <c r="H10" s="32" t="s">
        <v>14</v>
      </c>
      <c r="I10" s="32">
        <v>5750</v>
      </c>
      <c r="J10" s="32">
        <v>5780</v>
      </c>
      <c r="K10" s="10">
        <v>41582</v>
      </c>
      <c r="L10" s="10"/>
      <c r="M10" s="36" t="s">
        <v>273</v>
      </c>
      <c r="N10" s="11">
        <v>1.9930000000000001</v>
      </c>
      <c r="O10" s="19" t="s">
        <v>221</v>
      </c>
      <c r="P10" s="7"/>
      <c r="Q10" s="23" t="s">
        <v>306</v>
      </c>
      <c r="R10" s="7" t="s">
        <v>304</v>
      </c>
      <c r="S10" s="7"/>
      <c r="T10" s="7"/>
      <c r="U10" s="7" t="s">
        <v>603</v>
      </c>
    </row>
    <row r="11" spans="1:21" x14ac:dyDescent="0.3">
      <c r="A11" s="7" t="s">
        <v>34</v>
      </c>
      <c r="B11" s="7" t="s">
        <v>43</v>
      </c>
      <c r="C11" s="7" t="s">
        <v>66</v>
      </c>
      <c r="D11" s="7" t="s">
        <v>64</v>
      </c>
      <c r="E11" s="7">
        <v>2013</v>
      </c>
      <c r="F11" s="32">
        <v>13</v>
      </c>
      <c r="G11" s="38" t="s">
        <v>65</v>
      </c>
      <c r="H11" s="32" t="s">
        <v>14</v>
      </c>
      <c r="I11" s="32">
        <v>872</v>
      </c>
      <c r="J11" s="32">
        <v>876</v>
      </c>
      <c r="K11" s="10">
        <v>41609</v>
      </c>
      <c r="L11" s="10"/>
      <c r="M11" s="36" t="s">
        <v>273</v>
      </c>
      <c r="N11" s="11">
        <v>2.5310000000000001</v>
      </c>
      <c r="O11" s="19" t="s">
        <v>194</v>
      </c>
      <c r="P11" s="7"/>
      <c r="Q11" s="23" t="s">
        <v>307</v>
      </c>
      <c r="R11" s="7" t="s">
        <v>304</v>
      </c>
      <c r="S11" s="7"/>
      <c r="T11" s="7"/>
      <c r="U11" s="7" t="s">
        <v>603</v>
      </c>
    </row>
    <row r="12" spans="1:21" x14ac:dyDescent="0.3">
      <c r="A12" s="7" t="s">
        <v>20</v>
      </c>
      <c r="B12" s="7" t="s">
        <v>23</v>
      </c>
      <c r="C12" s="7" t="s">
        <v>160</v>
      </c>
      <c r="D12" s="7" t="s">
        <v>161</v>
      </c>
      <c r="E12" s="7">
        <v>2014</v>
      </c>
      <c r="F12" s="32">
        <v>8</v>
      </c>
      <c r="G12" s="38">
        <v>1</v>
      </c>
      <c r="H12" s="32" t="s">
        <v>31</v>
      </c>
      <c r="I12" s="32" t="s">
        <v>14</v>
      </c>
      <c r="J12" s="32" t="s">
        <v>14</v>
      </c>
      <c r="K12" s="36">
        <v>41641</v>
      </c>
      <c r="L12" s="36"/>
      <c r="M12" s="36" t="s">
        <v>273</v>
      </c>
      <c r="N12" s="11">
        <v>4.4459999999999997</v>
      </c>
      <c r="O12" s="19" t="s">
        <v>195</v>
      </c>
      <c r="P12" s="7"/>
      <c r="Q12" s="23" t="s">
        <v>308</v>
      </c>
      <c r="R12" s="7" t="s">
        <v>299</v>
      </c>
      <c r="S12" s="7"/>
      <c r="T12" s="7"/>
      <c r="U12" s="7" t="s">
        <v>603</v>
      </c>
    </row>
    <row r="13" spans="1:21" x14ac:dyDescent="0.3">
      <c r="A13" s="7" t="s">
        <v>18</v>
      </c>
      <c r="B13" s="7" t="s">
        <v>22</v>
      </c>
      <c r="C13" s="7" t="s">
        <v>26</v>
      </c>
      <c r="D13" s="7" t="s">
        <v>29</v>
      </c>
      <c r="E13" s="7">
        <v>2014</v>
      </c>
      <c r="F13" s="32">
        <v>7</v>
      </c>
      <c r="G13" s="38" t="s">
        <v>14</v>
      </c>
      <c r="H13" s="32">
        <v>45</v>
      </c>
      <c r="I13" s="32" t="s">
        <v>14</v>
      </c>
      <c r="J13" s="32" t="s">
        <v>14</v>
      </c>
      <c r="K13" s="10">
        <v>41661</v>
      </c>
      <c r="L13" s="10"/>
      <c r="M13" s="36" t="s">
        <v>273</v>
      </c>
      <c r="N13" s="11">
        <v>3.43</v>
      </c>
      <c r="O13" s="19" t="s">
        <v>216</v>
      </c>
      <c r="P13" s="7"/>
      <c r="Q13" s="23" t="s">
        <v>309</v>
      </c>
      <c r="R13" s="7" t="s">
        <v>299</v>
      </c>
      <c r="S13" s="7"/>
      <c r="T13" s="7"/>
      <c r="U13" s="7" t="s">
        <v>603</v>
      </c>
    </row>
    <row r="14" spans="1:21" x14ac:dyDescent="0.3">
      <c r="A14" s="7" t="s">
        <v>17</v>
      </c>
      <c r="B14" s="7" t="s">
        <v>21</v>
      </c>
      <c r="C14" s="7" t="s">
        <v>25</v>
      </c>
      <c r="D14" s="7" t="s">
        <v>28</v>
      </c>
      <c r="E14" s="7">
        <v>2014</v>
      </c>
      <c r="F14" s="32">
        <v>9</v>
      </c>
      <c r="G14" s="38" t="s">
        <v>14</v>
      </c>
      <c r="H14" s="32">
        <v>39</v>
      </c>
      <c r="I14" s="32" t="s">
        <v>14</v>
      </c>
      <c r="J14" s="32" t="s">
        <v>14</v>
      </c>
      <c r="K14" s="10">
        <v>41719</v>
      </c>
      <c r="L14" s="10"/>
      <c r="M14" s="36" t="s">
        <v>273</v>
      </c>
      <c r="N14" s="11">
        <v>3.3580000000000001</v>
      </c>
      <c r="O14" s="19" t="s">
        <v>196</v>
      </c>
      <c r="P14" s="7"/>
      <c r="Q14" s="23" t="s">
        <v>310</v>
      </c>
      <c r="R14" s="7" t="s">
        <v>304</v>
      </c>
      <c r="S14" s="7"/>
      <c r="T14" s="7"/>
      <c r="U14" s="7" t="s">
        <v>603</v>
      </c>
    </row>
    <row r="15" spans="1:21" x14ac:dyDescent="0.3">
      <c r="A15" s="7" t="s">
        <v>9</v>
      </c>
      <c r="B15" s="7" t="s">
        <v>16</v>
      </c>
      <c r="C15" s="7" t="s">
        <v>12</v>
      </c>
      <c r="D15" s="7" t="s">
        <v>13</v>
      </c>
      <c r="E15" s="7">
        <v>2014</v>
      </c>
      <c r="F15" s="18">
        <v>59</v>
      </c>
      <c r="G15" s="19" t="s">
        <v>91</v>
      </c>
      <c r="H15" s="18" t="s">
        <v>14</v>
      </c>
      <c r="I15" s="18">
        <v>565</v>
      </c>
      <c r="J15" s="18">
        <v>569</v>
      </c>
      <c r="K15" s="10">
        <v>41750</v>
      </c>
      <c r="L15" s="10"/>
      <c r="M15" s="10" t="s">
        <v>273</v>
      </c>
      <c r="N15" s="11">
        <v>2.7010000000000001</v>
      </c>
      <c r="O15" s="19" t="s">
        <v>197</v>
      </c>
      <c r="P15" s="7"/>
      <c r="Q15" s="23" t="s">
        <v>311</v>
      </c>
      <c r="R15" s="7" t="s">
        <v>299</v>
      </c>
      <c r="S15" s="7"/>
      <c r="T15" s="7"/>
      <c r="U15" s="7" t="s">
        <v>603</v>
      </c>
    </row>
    <row r="16" spans="1:21" x14ac:dyDescent="0.3">
      <c r="A16" s="7" t="s">
        <v>15</v>
      </c>
      <c r="B16" s="7" t="s">
        <v>16</v>
      </c>
      <c r="C16" s="7" t="s">
        <v>12</v>
      </c>
      <c r="D16" s="7" t="s">
        <v>13</v>
      </c>
      <c r="E16" s="7">
        <v>2014</v>
      </c>
      <c r="F16" s="18">
        <v>59</v>
      </c>
      <c r="G16" s="19" t="s">
        <v>91</v>
      </c>
      <c r="H16" s="18" t="s">
        <v>14</v>
      </c>
      <c r="I16" s="18">
        <v>571</v>
      </c>
      <c r="J16" s="18">
        <v>574</v>
      </c>
      <c r="K16" s="10">
        <v>41751</v>
      </c>
      <c r="L16" s="10"/>
      <c r="M16" s="10" t="s">
        <v>273</v>
      </c>
      <c r="N16" s="11">
        <v>2.7010000000000001</v>
      </c>
      <c r="O16" s="19" t="s">
        <v>198</v>
      </c>
      <c r="P16" s="7"/>
      <c r="Q16" s="23" t="s">
        <v>311</v>
      </c>
      <c r="R16" s="7" t="s">
        <v>299</v>
      </c>
      <c r="S16" s="7"/>
      <c r="T16" s="7"/>
      <c r="U16" s="7" t="s">
        <v>603</v>
      </c>
    </row>
    <row r="17" spans="1:21" x14ac:dyDescent="0.3">
      <c r="A17" s="7" t="s">
        <v>70</v>
      </c>
      <c r="B17" s="7" t="s">
        <v>71</v>
      </c>
      <c r="C17" s="7" t="s">
        <v>160</v>
      </c>
      <c r="D17" s="7" t="s">
        <v>161</v>
      </c>
      <c r="E17" s="7">
        <v>2014</v>
      </c>
      <c r="F17" s="32">
        <v>8</v>
      </c>
      <c r="G17" s="38" t="s">
        <v>92</v>
      </c>
      <c r="H17" s="32" t="s">
        <v>93</v>
      </c>
      <c r="I17" s="32" t="s">
        <v>14</v>
      </c>
      <c r="J17" s="32" t="s">
        <v>14</v>
      </c>
      <c r="K17" s="36">
        <v>41760</v>
      </c>
      <c r="L17" s="36"/>
      <c r="M17" s="36" t="s">
        <v>273</v>
      </c>
      <c r="N17" s="11">
        <v>4.4459999999999997</v>
      </c>
      <c r="O17" s="19" t="s">
        <v>217</v>
      </c>
      <c r="P17" s="7"/>
      <c r="Q17" s="23" t="s">
        <v>308</v>
      </c>
      <c r="R17" s="7" t="s">
        <v>299</v>
      </c>
      <c r="S17" s="7"/>
      <c r="T17" s="7"/>
      <c r="U17" s="7" t="s">
        <v>603</v>
      </c>
    </row>
    <row r="18" spans="1:21" x14ac:dyDescent="0.3">
      <c r="A18" s="7" t="s">
        <v>72</v>
      </c>
      <c r="B18" s="7" t="s">
        <v>94</v>
      </c>
      <c r="C18" s="7" t="s">
        <v>81</v>
      </c>
      <c r="D18" s="7" t="s">
        <v>82</v>
      </c>
      <c r="E18" s="7">
        <v>2014</v>
      </c>
      <c r="F18" s="32">
        <v>14</v>
      </c>
      <c r="G18" s="38" t="s">
        <v>69</v>
      </c>
      <c r="H18" s="32" t="s">
        <v>14</v>
      </c>
      <c r="I18" s="32">
        <v>1073</v>
      </c>
      <c r="J18" s="32">
        <v>1082</v>
      </c>
      <c r="K18" s="10">
        <v>41897</v>
      </c>
      <c r="L18" s="10"/>
      <c r="M18" s="36" t="s">
        <v>273</v>
      </c>
      <c r="N18" s="11">
        <v>22.433</v>
      </c>
      <c r="O18" s="19" t="s">
        <v>199</v>
      </c>
      <c r="P18" s="7"/>
      <c r="Q18" s="23" t="s">
        <v>312</v>
      </c>
      <c r="R18" s="7" t="s">
        <v>299</v>
      </c>
      <c r="S18" s="7"/>
      <c r="T18" s="7"/>
      <c r="U18" s="7" t="s">
        <v>603</v>
      </c>
    </row>
    <row r="19" spans="1:21" x14ac:dyDescent="0.3">
      <c r="A19" s="7" t="s">
        <v>75</v>
      </c>
      <c r="B19" s="7" t="s">
        <v>80</v>
      </c>
      <c r="C19" s="7" t="s">
        <v>144</v>
      </c>
      <c r="D19" s="7" t="s">
        <v>144</v>
      </c>
      <c r="E19" s="18">
        <v>2014</v>
      </c>
      <c r="F19" s="18">
        <v>9</v>
      </c>
      <c r="G19" s="19" t="s">
        <v>99</v>
      </c>
      <c r="H19" s="18" t="s">
        <v>100</v>
      </c>
      <c r="I19" s="18" t="s">
        <v>14</v>
      </c>
      <c r="J19" s="18" t="s">
        <v>14</v>
      </c>
      <c r="K19" s="10">
        <v>41926</v>
      </c>
      <c r="L19" s="10"/>
      <c r="M19" s="10" t="s">
        <v>273</v>
      </c>
      <c r="N19" s="11">
        <v>3.234</v>
      </c>
      <c r="O19" s="19" t="s">
        <v>200</v>
      </c>
      <c r="P19" s="7"/>
      <c r="Q19" s="23" t="s">
        <v>313</v>
      </c>
      <c r="R19" s="7" t="s">
        <v>299</v>
      </c>
      <c r="S19" s="7"/>
      <c r="T19" s="7"/>
      <c r="U19" s="7" t="s">
        <v>603</v>
      </c>
    </row>
    <row r="20" spans="1:21" x14ac:dyDescent="0.3">
      <c r="A20" s="7" t="s">
        <v>90</v>
      </c>
      <c r="B20" s="7" t="s">
        <v>77</v>
      </c>
      <c r="C20" s="7" t="s">
        <v>89</v>
      </c>
      <c r="D20" s="7" t="s">
        <v>89</v>
      </c>
      <c r="E20" s="18">
        <v>2014</v>
      </c>
      <c r="F20" s="18">
        <v>14</v>
      </c>
      <c r="G20" s="19" t="s">
        <v>101</v>
      </c>
      <c r="H20" s="18">
        <v>1196</v>
      </c>
      <c r="I20" s="18" t="s">
        <v>14</v>
      </c>
      <c r="J20" s="18" t="s">
        <v>14</v>
      </c>
      <c r="K20" s="10">
        <v>41964</v>
      </c>
      <c r="L20" s="10"/>
      <c r="M20" s="10" t="s">
        <v>273</v>
      </c>
      <c r="N20" s="11">
        <v>2.2639999999999998</v>
      </c>
      <c r="O20" s="19" t="s">
        <v>201</v>
      </c>
      <c r="P20" s="7"/>
      <c r="Q20" s="23" t="s">
        <v>314</v>
      </c>
      <c r="R20" s="7" t="s">
        <v>304</v>
      </c>
      <c r="S20" s="7"/>
      <c r="T20" s="7"/>
      <c r="U20" s="7" t="s">
        <v>603</v>
      </c>
    </row>
    <row r="21" spans="1:21" x14ac:dyDescent="0.3">
      <c r="A21" s="7" t="s">
        <v>611</v>
      </c>
      <c r="B21" s="7" t="s">
        <v>79</v>
      </c>
      <c r="C21" s="7" t="s">
        <v>87</v>
      </c>
      <c r="D21" s="7" t="s">
        <v>88</v>
      </c>
      <c r="E21" s="18">
        <v>2014</v>
      </c>
      <c r="F21" s="32">
        <v>171</v>
      </c>
      <c r="G21" s="38" t="s">
        <v>111</v>
      </c>
      <c r="H21" s="32" t="s">
        <v>14</v>
      </c>
      <c r="I21" s="32">
        <v>1443</v>
      </c>
      <c r="J21" s="32">
        <v>1450</v>
      </c>
      <c r="K21" s="36">
        <v>41974</v>
      </c>
      <c r="L21" s="36"/>
      <c r="M21" s="36" t="s">
        <v>273</v>
      </c>
      <c r="N21" s="11">
        <v>4.2750000000000004</v>
      </c>
      <c r="O21" s="19" t="s">
        <v>202</v>
      </c>
      <c r="P21" s="7"/>
      <c r="Q21" s="23" t="s">
        <v>315</v>
      </c>
      <c r="R21" s="7" t="s">
        <v>299</v>
      </c>
      <c r="S21" s="7"/>
      <c r="T21" s="7"/>
      <c r="U21" s="7" t="s">
        <v>603</v>
      </c>
    </row>
    <row r="22" spans="1:21" x14ac:dyDescent="0.3">
      <c r="A22" s="7" t="s">
        <v>74</v>
      </c>
      <c r="B22" s="7" t="s">
        <v>78</v>
      </c>
      <c r="C22" s="7" t="s">
        <v>85</v>
      </c>
      <c r="D22" s="7" t="s">
        <v>86</v>
      </c>
      <c r="E22" s="18">
        <v>2015</v>
      </c>
      <c r="F22" s="32">
        <v>45</v>
      </c>
      <c r="G22" s="38" t="s">
        <v>112</v>
      </c>
      <c r="H22" s="32" t="s">
        <v>14</v>
      </c>
      <c r="I22" s="32">
        <v>95</v>
      </c>
      <c r="J22" s="32">
        <v>99</v>
      </c>
      <c r="K22" s="10">
        <v>42053</v>
      </c>
      <c r="L22" s="10"/>
      <c r="M22" s="36" t="s">
        <v>273</v>
      </c>
      <c r="N22" s="11">
        <v>4.242</v>
      </c>
      <c r="O22" s="19" t="s">
        <v>203</v>
      </c>
      <c r="P22" s="7"/>
      <c r="Q22" s="23" t="s">
        <v>308</v>
      </c>
      <c r="R22" s="7" t="s">
        <v>299</v>
      </c>
      <c r="S22" s="7"/>
      <c r="T22" s="7"/>
      <c r="U22" s="7" t="s">
        <v>603</v>
      </c>
    </row>
    <row r="23" spans="1:21" x14ac:dyDescent="0.3">
      <c r="A23" s="7" t="s">
        <v>103</v>
      </c>
      <c r="B23" s="7" t="s">
        <v>104</v>
      </c>
      <c r="C23" s="7" t="s">
        <v>105</v>
      </c>
      <c r="D23" s="7" t="s">
        <v>105</v>
      </c>
      <c r="E23" s="18">
        <v>2015</v>
      </c>
      <c r="F23" s="32">
        <v>54</v>
      </c>
      <c r="G23" s="38" t="s">
        <v>14</v>
      </c>
      <c r="H23" s="32" t="s">
        <v>14</v>
      </c>
      <c r="I23" s="32">
        <v>135</v>
      </c>
      <c r="J23" s="32">
        <v>143</v>
      </c>
      <c r="K23" s="36">
        <v>42064</v>
      </c>
      <c r="L23" s="36"/>
      <c r="M23" s="36" t="s">
        <v>273</v>
      </c>
      <c r="N23" s="11">
        <v>3.3879999999999999</v>
      </c>
      <c r="O23" s="19" t="s">
        <v>208</v>
      </c>
      <c r="P23" s="7"/>
      <c r="Q23" s="23" t="s">
        <v>316</v>
      </c>
      <c r="R23" s="7" t="s">
        <v>299</v>
      </c>
      <c r="S23" s="7"/>
      <c r="T23" s="7"/>
      <c r="U23" s="7" t="s">
        <v>603</v>
      </c>
    </row>
    <row r="24" spans="1:21" x14ac:dyDescent="0.3">
      <c r="A24" s="7" t="s">
        <v>73</v>
      </c>
      <c r="B24" s="7" t="s">
        <v>76</v>
      </c>
      <c r="C24" s="7" t="s">
        <v>83</v>
      </c>
      <c r="D24" s="7" t="s">
        <v>84</v>
      </c>
      <c r="E24" s="18">
        <v>2015</v>
      </c>
      <c r="F24" s="32">
        <v>93</v>
      </c>
      <c r="G24" s="38" t="s">
        <v>14</v>
      </c>
      <c r="H24" s="32" t="s">
        <v>14</v>
      </c>
      <c r="I24" s="32">
        <v>228</v>
      </c>
      <c r="J24" s="32">
        <v>236</v>
      </c>
      <c r="K24" s="10">
        <v>42075</v>
      </c>
      <c r="L24" s="10"/>
      <c r="M24" s="36" t="s">
        <v>273</v>
      </c>
      <c r="N24" s="11">
        <v>5.2960000000000003</v>
      </c>
      <c r="O24" s="19" t="s">
        <v>205</v>
      </c>
      <c r="P24" s="7"/>
      <c r="Q24" s="23" t="s">
        <v>317</v>
      </c>
      <c r="R24" s="7" t="s">
        <v>299</v>
      </c>
      <c r="S24" s="7"/>
      <c r="T24" s="7"/>
      <c r="U24" s="7" t="s">
        <v>603</v>
      </c>
    </row>
    <row r="25" spans="1:21" x14ac:dyDescent="0.3">
      <c r="A25" s="7" t="s">
        <v>126</v>
      </c>
      <c r="B25" s="7" t="s">
        <v>107</v>
      </c>
      <c r="C25" s="7" t="s">
        <v>108</v>
      </c>
      <c r="D25" s="7" t="s">
        <v>109</v>
      </c>
      <c r="E25" s="18">
        <v>2015</v>
      </c>
      <c r="F25" s="32">
        <v>13</v>
      </c>
      <c r="G25" s="38" t="s">
        <v>101</v>
      </c>
      <c r="H25" s="32">
        <v>10</v>
      </c>
      <c r="I25" s="32" t="s">
        <v>14</v>
      </c>
      <c r="J25" s="32" t="s">
        <v>14</v>
      </c>
      <c r="K25" s="10">
        <v>42081</v>
      </c>
      <c r="L25" s="10"/>
      <c r="M25" s="36" t="s">
        <v>273</v>
      </c>
      <c r="N25" s="11">
        <v>2.7679999999999998</v>
      </c>
      <c r="O25" s="19" t="s">
        <v>206</v>
      </c>
      <c r="P25" s="7"/>
      <c r="Q25" s="23" t="s">
        <v>318</v>
      </c>
      <c r="R25" s="7" t="s">
        <v>299</v>
      </c>
      <c r="S25" s="7"/>
      <c r="T25" s="7"/>
      <c r="U25" s="7" t="s">
        <v>603</v>
      </c>
    </row>
    <row r="26" spans="1:21" x14ac:dyDescent="0.3">
      <c r="A26" s="7" t="s">
        <v>113</v>
      </c>
      <c r="B26" s="7" t="s">
        <v>114</v>
      </c>
      <c r="C26" s="7" t="s">
        <v>115</v>
      </c>
      <c r="D26" s="7" t="s">
        <v>116</v>
      </c>
      <c r="E26" s="18">
        <v>2015</v>
      </c>
      <c r="F26" s="32">
        <v>12</v>
      </c>
      <c r="G26" s="38" t="s">
        <v>153</v>
      </c>
      <c r="H26" s="32" t="s">
        <v>14</v>
      </c>
      <c r="I26" s="32">
        <v>626</v>
      </c>
      <c r="J26" s="32">
        <v>630</v>
      </c>
      <c r="K26" s="10">
        <v>42085</v>
      </c>
      <c r="L26" s="10"/>
      <c r="M26" s="36" t="s">
        <v>273</v>
      </c>
      <c r="N26" s="11">
        <v>2.27</v>
      </c>
      <c r="O26" s="19" t="s">
        <v>219</v>
      </c>
      <c r="P26" s="7"/>
      <c r="Q26" s="23" t="s">
        <v>319</v>
      </c>
      <c r="R26" s="7" t="s">
        <v>299</v>
      </c>
      <c r="S26" s="7"/>
      <c r="T26" s="7"/>
      <c r="U26" s="7" t="s">
        <v>603</v>
      </c>
    </row>
    <row r="27" spans="1:21" s="4" customFormat="1" x14ac:dyDescent="0.3">
      <c r="A27" s="7" t="s">
        <v>97</v>
      </c>
      <c r="B27" s="7" t="s">
        <v>98</v>
      </c>
      <c r="C27" s="7" t="s">
        <v>106</v>
      </c>
      <c r="D27" s="7" t="s">
        <v>102</v>
      </c>
      <c r="E27" s="18">
        <v>2015</v>
      </c>
      <c r="F27" s="32">
        <v>53</v>
      </c>
      <c r="G27" s="38" t="s">
        <v>125</v>
      </c>
      <c r="H27" s="32" t="s">
        <v>14</v>
      </c>
      <c r="I27" s="32">
        <v>197</v>
      </c>
      <c r="J27" s="32">
        <v>200</v>
      </c>
      <c r="K27" s="10">
        <v>42095</v>
      </c>
      <c r="L27" s="10"/>
      <c r="M27" s="10" t="s">
        <v>273</v>
      </c>
      <c r="N27" s="11">
        <v>1.0269999999999999</v>
      </c>
      <c r="O27" s="19" t="s">
        <v>220</v>
      </c>
      <c r="P27" s="7"/>
      <c r="Q27" s="23" t="s">
        <v>320</v>
      </c>
      <c r="R27" s="7" t="s">
        <v>321</v>
      </c>
      <c r="S27" s="7"/>
      <c r="T27" s="7"/>
      <c r="U27" s="7" t="s">
        <v>603</v>
      </c>
    </row>
    <row r="28" spans="1:21" x14ac:dyDescent="0.3">
      <c r="A28" s="7" t="s">
        <v>137</v>
      </c>
      <c r="B28" s="7" t="s">
        <v>138</v>
      </c>
      <c r="C28" s="7" t="s">
        <v>139</v>
      </c>
      <c r="D28" s="7" t="s">
        <v>139</v>
      </c>
      <c r="E28" s="7">
        <v>2015</v>
      </c>
      <c r="F28" s="32">
        <v>46</v>
      </c>
      <c r="G28" s="38" t="s">
        <v>92</v>
      </c>
      <c r="H28" s="32" t="s">
        <v>14</v>
      </c>
      <c r="I28" s="32">
        <v>354</v>
      </c>
      <c r="J28" s="32">
        <v>355</v>
      </c>
      <c r="K28" s="36">
        <v>42142</v>
      </c>
      <c r="L28" s="36"/>
      <c r="M28" s="36" t="s">
        <v>273</v>
      </c>
      <c r="N28" s="11">
        <v>1.2909999999999999</v>
      </c>
      <c r="O28" s="19" t="s">
        <v>210</v>
      </c>
      <c r="P28" s="7"/>
      <c r="Q28" s="23" t="s">
        <v>322</v>
      </c>
      <c r="R28" s="7" t="s">
        <v>321</v>
      </c>
      <c r="S28" s="7"/>
      <c r="T28" s="7"/>
      <c r="U28" s="7" t="s">
        <v>603</v>
      </c>
    </row>
    <row r="29" spans="1:21" x14ac:dyDescent="0.3">
      <c r="A29" s="7" t="s">
        <v>609</v>
      </c>
      <c r="B29" s="7" t="s">
        <v>117</v>
      </c>
      <c r="C29" s="7" t="s">
        <v>26</v>
      </c>
      <c r="D29" s="7" t="s">
        <v>29</v>
      </c>
      <c r="E29" s="18">
        <v>2015</v>
      </c>
      <c r="F29" s="32">
        <v>8</v>
      </c>
      <c r="G29" s="38" t="s">
        <v>14</v>
      </c>
      <c r="H29" s="32">
        <v>323</v>
      </c>
      <c r="I29" s="32" t="s">
        <v>14</v>
      </c>
      <c r="J29" s="32" t="s">
        <v>14</v>
      </c>
      <c r="K29" s="10">
        <v>42167</v>
      </c>
      <c r="L29" s="10"/>
      <c r="M29" s="36" t="s">
        <v>273</v>
      </c>
      <c r="N29" s="11">
        <v>3.234</v>
      </c>
      <c r="O29" s="19" t="s">
        <v>207</v>
      </c>
      <c r="P29" s="7"/>
      <c r="Q29" s="23" t="s">
        <v>323</v>
      </c>
      <c r="R29" s="7" t="s">
        <v>299</v>
      </c>
      <c r="S29" s="7"/>
      <c r="T29" s="7"/>
      <c r="U29" s="7" t="s">
        <v>603</v>
      </c>
    </row>
    <row r="30" spans="1:21" x14ac:dyDescent="0.3">
      <c r="A30" s="7" t="s">
        <v>110</v>
      </c>
      <c r="B30" s="7" t="s">
        <v>142</v>
      </c>
      <c r="C30" s="7" t="s">
        <v>59</v>
      </c>
      <c r="D30" s="7" t="s">
        <v>60</v>
      </c>
      <c r="E30" s="18">
        <v>2015</v>
      </c>
      <c r="F30" s="32">
        <v>213</v>
      </c>
      <c r="G30" s="38" t="s">
        <v>225</v>
      </c>
      <c r="H30" s="32" t="s">
        <v>14</v>
      </c>
      <c r="I30" s="32">
        <v>38</v>
      </c>
      <c r="J30" s="32">
        <v>45</v>
      </c>
      <c r="K30" s="10">
        <v>42277</v>
      </c>
      <c r="L30" s="10"/>
      <c r="M30" s="36" t="s">
        <v>273</v>
      </c>
      <c r="N30" s="11">
        <v>2.242</v>
      </c>
      <c r="O30" s="19" t="s">
        <v>218</v>
      </c>
      <c r="P30" s="7"/>
      <c r="Q30" s="23" t="s">
        <v>324</v>
      </c>
      <c r="R30" s="7" t="s">
        <v>299</v>
      </c>
      <c r="S30" s="7"/>
      <c r="T30" s="7"/>
      <c r="U30" s="7" t="s">
        <v>603</v>
      </c>
    </row>
    <row r="31" spans="1:21" x14ac:dyDescent="0.3">
      <c r="A31" s="7" t="s">
        <v>118</v>
      </c>
      <c r="B31" s="7" t="s">
        <v>119</v>
      </c>
      <c r="C31" s="7" t="s">
        <v>120</v>
      </c>
      <c r="D31" s="7" t="s">
        <v>121</v>
      </c>
      <c r="E31" s="18">
        <v>2015</v>
      </c>
      <c r="F31" s="32">
        <v>3</v>
      </c>
      <c r="G31" s="38" t="s">
        <v>69</v>
      </c>
      <c r="H31" s="32" t="s">
        <v>14</v>
      </c>
      <c r="I31" s="32">
        <v>712</v>
      </c>
      <c r="J31" s="32">
        <v>723</v>
      </c>
      <c r="K31" s="10">
        <v>42289</v>
      </c>
      <c r="L31" s="10"/>
      <c r="M31" s="36" t="s">
        <v>273</v>
      </c>
      <c r="N31" s="11">
        <v>14.722</v>
      </c>
      <c r="O31" s="19" t="s">
        <v>211</v>
      </c>
      <c r="P31" s="7"/>
      <c r="Q31" s="23" t="s">
        <v>325</v>
      </c>
      <c r="R31" s="7" t="s">
        <v>299</v>
      </c>
      <c r="S31" s="7"/>
      <c r="T31" s="7"/>
      <c r="U31" s="7" t="s">
        <v>603</v>
      </c>
    </row>
    <row r="32" spans="1:21" x14ac:dyDescent="0.3">
      <c r="A32" s="7" t="s">
        <v>189</v>
      </c>
      <c r="B32" s="7" t="s">
        <v>152</v>
      </c>
      <c r="C32" s="7" t="s">
        <v>171</v>
      </c>
      <c r="D32" s="7" t="s">
        <v>171</v>
      </c>
      <c r="E32" s="18">
        <v>2015</v>
      </c>
      <c r="F32" s="18">
        <v>4</v>
      </c>
      <c r="G32" s="19" t="s">
        <v>14</v>
      </c>
      <c r="H32" s="18">
        <v>1393</v>
      </c>
      <c r="I32" s="18" t="s">
        <v>14</v>
      </c>
      <c r="J32" s="18" t="s">
        <v>14</v>
      </c>
      <c r="K32" s="10">
        <v>42341</v>
      </c>
      <c r="L32" s="10"/>
      <c r="M32" s="20" t="s">
        <v>274</v>
      </c>
      <c r="N32" s="21" t="s">
        <v>14</v>
      </c>
      <c r="O32" s="19" t="s">
        <v>190</v>
      </c>
      <c r="P32" s="7"/>
      <c r="Q32" s="24" t="s">
        <v>14</v>
      </c>
      <c r="R32" s="25" t="s">
        <v>14</v>
      </c>
      <c r="S32" s="7"/>
      <c r="T32" s="7"/>
      <c r="U32" s="7" t="s">
        <v>603</v>
      </c>
    </row>
    <row r="33" spans="1:21" x14ac:dyDescent="0.3">
      <c r="A33" s="7" t="s">
        <v>163</v>
      </c>
      <c r="B33" s="7" t="s">
        <v>240</v>
      </c>
      <c r="C33" s="7" t="s">
        <v>235</v>
      </c>
      <c r="D33" s="7" t="s">
        <v>236</v>
      </c>
      <c r="E33" s="18">
        <v>2015</v>
      </c>
      <c r="F33" s="18">
        <v>12</v>
      </c>
      <c r="G33" s="19" t="s">
        <v>65</v>
      </c>
      <c r="H33" s="18" t="s">
        <v>184</v>
      </c>
      <c r="I33" s="18" t="s">
        <v>14</v>
      </c>
      <c r="J33" s="18" t="s">
        <v>14</v>
      </c>
      <c r="K33" s="10">
        <v>42341</v>
      </c>
      <c r="L33" s="10"/>
      <c r="M33" s="10" t="s">
        <v>273</v>
      </c>
      <c r="N33" s="11">
        <v>13.585000000000001</v>
      </c>
      <c r="O33" s="19" t="s">
        <v>183</v>
      </c>
      <c r="P33" s="7"/>
      <c r="Q33" s="23" t="s">
        <v>327</v>
      </c>
      <c r="R33" s="7" t="s">
        <v>299</v>
      </c>
      <c r="S33" s="7"/>
      <c r="T33" s="7"/>
      <c r="U33" s="7" t="s">
        <v>603</v>
      </c>
    </row>
    <row r="34" spans="1:21" x14ac:dyDescent="0.3">
      <c r="A34" s="7" t="s">
        <v>154</v>
      </c>
      <c r="B34" s="7" t="s">
        <v>239</v>
      </c>
      <c r="C34" s="7" t="s">
        <v>235</v>
      </c>
      <c r="D34" s="7" t="s">
        <v>236</v>
      </c>
      <c r="E34" s="18">
        <v>2015</v>
      </c>
      <c r="F34" s="18">
        <v>12</v>
      </c>
      <c r="G34" s="19" t="s">
        <v>65</v>
      </c>
      <c r="H34" s="18" t="s">
        <v>182</v>
      </c>
      <c r="I34" s="18" t="s">
        <v>14</v>
      </c>
      <c r="J34" s="18" t="s">
        <v>14</v>
      </c>
      <c r="K34" s="10">
        <v>42341</v>
      </c>
      <c r="L34" s="10"/>
      <c r="M34" s="10" t="s">
        <v>273</v>
      </c>
      <c r="N34" s="11">
        <v>13.585000000000001</v>
      </c>
      <c r="O34" s="19" t="s">
        <v>181</v>
      </c>
      <c r="P34" s="7"/>
      <c r="Q34" s="23" t="s">
        <v>327</v>
      </c>
      <c r="R34" s="7" t="s">
        <v>299</v>
      </c>
      <c r="S34" s="7"/>
      <c r="T34" s="7"/>
      <c r="U34" s="7" t="s">
        <v>603</v>
      </c>
    </row>
    <row r="35" spans="1:21" x14ac:dyDescent="0.3">
      <c r="A35" s="7" t="s">
        <v>146</v>
      </c>
      <c r="B35" s="7" t="s">
        <v>147</v>
      </c>
      <c r="C35" s="7" t="s">
        <v>235</v>
      </c>
      <c r="D35" s="7" t="s">
        <v>236</v>
      </c>
      <c r="E35" s="18">
        <v>2015</v>
      </c>
      <c r="F35" s="18">
        <v>12</v>
      </c>
      <c r="G35" s="19" t="s">
        <v>65</v>
      </c>
      <c r="H35" s="18" t="s">
        <v>177</v>
      </c>
      <c r="I35" s="18" t="s">
        <v>14</v>
      </c>
      <c r="J35" s="18" t="s">
        <v>14</v>
      </c>
      <c r="K35" s="10">
        <v>42341</v>
      </c>
      <c r="L35" s="10"/>
      <c r="M35" s="10" t="s">
        <v>273</v>
      </c>
      <c r="N35" s="11">
        <v>13.585000000000001</v>
      </c>
      <c r="O35" s="19" t="s">
        <v>176</v>
      </c>
      <c r="P35" s="7"/>
      <c r="Q35" s="23" t="s">
        <v>327</v>
      </c>
      <c r="R35" s="7" t="s">
        <v>299</v>
      </c>
      <c r="S35" s="7"/>
      <c r="T35" s="7"/>
      <c r="U35" s="7" t="s">
        <v>603</v>
      </c>
    </row>
    <row r="36" spans="1:21" x14ac:dyDescent="0.3">
      <c r="A36" s="7" t="s">
        <v>124</v>
      </c>
      <c r="B36" s="7" t="s">
        <v>238</v>
      </c>
      <c r="C36" s="7" t="s">
        <v>144</v>
      </c>
      <c r="D36" s="7" t="s">
        <v>144</v>
      </c>
      <c r="E36" s="18">
        <v>2015</v>
      </c>
      <c r="F36" s="32">
        <v>10</v>
      </c>
      <c r="G36" s="38" t="s">
        <v>65</v>
      </c>
      <c r="H36" s="32" t="s">
        <v>186</v>
      </c>
      <c r="I36" s="32" t="s">
        <v>14</v>
      </c>
      <c r="J36" s="32" t="s">
        <v>14</v>
      </c>
      <c r="K36" s="36">
        <v>42341</v>
      </c>
      <c r="L36" s="36"/>
      <c r="M36" s="36" t="s">
        <v>273</v>
      </c>
      <c r="N36" s="11">
        <v>3.0569999999999999</v>
      </c>
      <c r="O36" s="19" t="s">
        <v>185</v>
      </c>
      <c r="P36" s="7"/>
      <c r="Q36" s="23" t="s">
        <v>326</v>
      </c>
      <c r="R36" s="7" t="s">
        <v>299</v>
      </c>
      <c r="S36" s="7"/>
      <c r="T36" s="7"/>
      <c r="U36" s="7" t="s">
        <v>603</v>
      </c>
    </row>
    <row r="37" spans="1:21" x14ac:dyDescent="0.3">
      <c r="A37" s="7" t="s">
        <v>143</v>
      </c>
      <c r="B37" s="7" t="s">
        <v>145</v>
      </c>
      <c r="C37" s="7" t="s">
        <v>144</v>
      </c>
      <c r="D37" s="7" t="s">
        <v>144</v>
      </c>
      <c r="E37" s="18">
        <v>2015</v>
      </c>
      <c r="F37" s="32">
        <v>10</v>
      </c>
      <c r="G37" s="38" t="s">
        <v>65</v>
      </c>
      <c r="H37" s="32" t="s">
        <v>180</v>
      </c>
      <c r="I37" s="32" t="s">
        <v>14</v>
      </c>
      <c r="J37" s="32" t="s">
        <v>14</v>
      </c>
      <c r="K37" s="36">
        <v>42341</v>
      </c>
      <c r="L37" s="36"/>
      <c r="M37" s="36" t="s">
        <v>273</v>
      </c>
      <c r="N37" s="11">
        <v>3.0569999999999999</v>
      </c>
      <c r="O37" s="19" t="s">
        <v>179</v>
      </c>
      <c r="P37" s="7"/>
      <c r="Q37" s="23" t="s">
        <v>326</v>
      </c>
      <c r="R37" s="7" t="s">
        <v>299</v>
      </c>
      <c r="S37" s="7"/>
      <c r="T37" s="7"/>
      <c r="U37" s="7" t="s">
        <v>603</v>
      </c>
    </row>
    <row r="38" spans="1:21" x14ac:dyDescent="0.3">
      <c r="A38" s="7" t="s">
        <v>122</v>
      </c>
      <c r="B38" s="7" t="s">
        <v>123</v>
      </c>
      <c r="C38" s="7" t="s">
        <v>144</v>
      </c>
      <c r="D38" s="7" t="s">
        <v>144</v>
      </c>
      <c r="E38" s="18">
        <v>2015</v>
      </c>
      <c r="F38" s="18">
        <v>10</v>
      </c>
      <c r="G38" s="19" t="s">
        <v>65</v>
      </c>
      <c r="H38" s="18" t="s">
        <v>188</v>
      </c>
      <c r="I38" s="18" t="s">
        <v>14</v>
      </c>
      <c r="J38" s="18" t="s">
        <v>14</v>
      </c>
      <c r="K38" s="10">
        <v>42341</v>
      </c>
      <c r="L38" s="10"/>
      <c r="M38" s="10" t="s">
        <v>273</v>
      </c>
      <c r="N38" s="11">
        <v>3.0569999999999999</v>
      </c>
      <c r="O38" s="19" t="s">
        <v>187</v>
      </c>
      <c r="P38" s="7"/>
      <c r="Q38" s="23" t="s">
        <v>326</v>
      </c>
      <c r="R38" s="7" t="s">
        <v>299</v>
      </c>
      <c r="S38" s="7"/>
      <c r="T38" s="7"/>
      <c r="U38" s="7" t="s">
        <v>603</v>
      </c>
    </row>
    <row r="39" spans="1:21" x14ac:dyDescent="0.3">
      <c r="A39" s="7" t="s">
        <v>140</v>
      </c>
      <c r="B39" s="7" t="s">
        <v>141</v>
      </c>
      <c r="C39" s="7" t="s">
        <v>148</v>
      </c>
      <c r="D39" s="7" t="s">
        <v>149</v>
      </c>
      <c r="E39" s="18">
        <v>2016</v>
      </c>
      <c r="F39" s="32">
        <v>53</v>
      </c>
      <c r="G39" s="38" t="s">
        <v>14</v>
      </c>
      <c r="H39" s="32" t="s">
        <v>14</v>
      </c>
      <c r="I39" s="32">
        <v>33</v>
      </c>
      <c r="J39" s="32">
        <v>41</v>
      </c>
      <c r="K39" s="10">
        <v>42357</v>
      </c>
      <c r="L39" s="10"/>
      <c r="M39" s="36" t="s">
        <v>273</v>
      </c>
      <c r="N39" s="11">
        <v>6.0289999999999999</v>
      </c>
      <c r="O39" s="19" t="s">
        <v>224</v>
      </c>
      <c r="P39" s="7"/>
      <c r="Q39" s="15" t="s">
        <v>390</v>
      </c>
      <c r="R39" s="15" t="s">
        <v>299</v>
      </c>
      <c r="S39" s="7" t="s">
        <v>393</v>
      </c>
      <c r="T39" s="7" t="s">
        <v>603</v>
      </c>
      <c r="U39" s="7" t="s">
        <v>603</v>
      </c>
    </row>
    <row r="40" spans="1:21" x14ac:dyDescent="0.3">
      <c r="A40" s="7" t="s">
        <v>157</v>
      </c>
      <c r="B40" s="7" t="s">
        <v>241</v>
      </c>
      <c r="C40" s="7" t="s">
        <v>59</v>
      </c>
      <c r="D40" s="7" t="s">
        <v>60</v>
      </c>
      <c r="E40" s="18">
        <v>2016</v>
      </c>
      <c r="F40" s="32">
        <v>215</v>
      </c>
      <c r="G40" s="38" t="s">
        <v>14</v>
      </c>
      <c r="H40" s="32" t="s">
        <v>14</v>
      </c>
      <c r="I40" s="32">
        <v>17</v>
      </c>
      <c r="J40" s="32">
        <v>21</v>
      </c>
      <c r="K40" s="36">
        <v>42357</v>
      </c>
      <c r="L40" s="36"/>
      <c r="M40" s="36" t="s">
        <v>273</v>
      </c>
      <c r="N40" s="11">
        <v>2.3559999999999999</v>
      </c>
      <c r="O40" s="19" t="s">
        <v>222</v>
      </c>
      <c r="P40" s="7"/>
      <c r="Q40" s="15" t="s">
        <v>391</v>
      </c>
      <c r="R40" s="15" t="s">
        <v>299</v>
      </c>
      <c r="S40" s="7" t="s">
        <v>394</v>
      </c>
      <c r="T40" s="7" t="s">
        <v>602</v>
      </c>
      <c r="U40" s="7" t="s">
        <v>603</v>
      </c>
    </row>
    <row r="41" spans="1:21" x14ac:dyDescent="0.3">
      <c r="A41" s="7" t="s">
        <v>130</v>
      </c>
      <c r="B41" s="7" t="s">
        <v>226</v>
      </c>
      <c r="C41" s="7" t="s">
        <v>144</v>
      </c>
      <c r="D41" s="7" t="s">
        <v>144</v>
      </c>
      <c r="E41" s="18">
        <v>2016</v>
      </c>
      <c r="F41" s="18">
        <v>11</v>
      </c>
      <c r="G41" s="19" t="s">
        <v>101</v>
      </c>
      <c r="H41" s="18" t="s">
        <v>229</v>
      </c>
      <c r="I41" s="18" t="s">
        <v>14</v>
      </c>
      <c r="J41" s="18" t="s">
        <v>14</v>
      </c>
      <c r="K41" s="10">
        <v>42388</v>
      </c>
      <c r="L41" s="10"/>
      <c r="M41" s="10" t="s">
        <v>273</v>
      </c>
      <c r="N41" s="11">
        <v>2.806</v>
      </c>
      <c r="O41" s="19" t="s">
        <v>230</v>
      </c>
      <c r="P41" s="7"/>
      <c r="Q41" s="15" t="s">
        <v>395</v>
      </c>
      <c r="R41" s="15" t="s">
        <v>299</v>
      </c>
      <c r="S41" s="7" t="s">
        <v>396</v>
      </c>
      <c r="T41" s="7" t="s">
        <v>602</v>
      </c>
      <c r="U41" s="7" t="s">
        <v>603</v>
      </c>
    </row>
    <row r="42" spans="1:21" x14ac:dyDescent="0.3">
      <c r="A42" s="7" t="s">
        <v>127</v>
      </c>
      <c r="B42" s="7" t="s">
        <v>237</v>
      </c>
      <c r="C42" s="7" t="s">
        <v>128</v>
      </c>
      <c r="D42" s="7" t="s">
        <v>129</v>
      </c>
      <c r="E42" s="7">
        <v>2016</v>
      </c>
      <c r="F42" s="32">
        <v>36</v>
      </c>
      <c r="G42" s="38" t="s">
        <v>125</v>
      </c>
      <c r="H42" s="32" t="s">
        <v>14</v>
      </c>
      <c r="I42" s="32">
        <v>191</v>
      </c>
      <c r="J42" s="32">
        <v>202</v>
      </c>
      <c r="K42" s="10">
        <v>42409</v>
      </c>
      <c r="L42" s="10"/>
      <c r="M42" s="36" t="s">
        <v>273</v>
      </c>
      <c r="N42" s="11">
        <v>2.5179999999999998</v>
      </c>
      <c r="O42" s="19" t="s">
        <v>232</v>
      </c>
      <c r="P42" s="7"/>
      <c r="Q42" s="15" t="s">
        <v>398</v>
      </c>
      <c r="R42" s="15" t="s">
        <v>299</v>
      </c>
      <c r="S42" s="7" t="s">
        <v>399</v>
      </c>
      <c r="T42" s="7" t="s">
        <v>602</v>
      </c>
      <c r="U42" s="7" t="s">
        <v>603</v>
      </c>
    </row>
    <row r="43" spans="1:21" x14ac:dyDescent="0.3">
      <c r="A43" s="7" t="s">
        <v>166</v>
      </c>
      <c r="B43" s="7" t="s">
        <v>167</v>
      </c>
      <c r="C43" s="7" t="s">
        <v>26</v>
      </c>
      <c r="D43" s="7" t="s">
        <v>29</v>
      </c>
      <c r="E43" s="18">
        <v>2016</v>
      </c>
      <c r="F43" s="32">
        <v>9</v>
      </c>
      <c r="G43" s="38" t="s">
        <v>14</v>
      </c>
      <c r="H43" s="32">
        <v>81</v>
      </c>
      <c r="I43" s="32" t="s">
        <v>14</v>
      </c>
      <c r="J43" s="32" t="s">
        <v>14</v>
      </c>
      <c r="K43" s="10">
        <v>42410</v>
      </c>
      <c r="L43" s="10"/>
      <c r="M43" s="36" t="s">
        <v>273</v>
      </c>
      <c r="N43" s="11">
        <v>3.08</v>
      </c>
      <c r="O43" s="19" t="s">
        <v>231</v>
      </c>
      <c r="P43" s="7"/>
      <c r="Q43" s="28" t="s">
        <v>400</v>
      </c>
      <c r="R43" s="15" t="s">
        <v>299</v>
      </c>
      <c r="S43" s="7" t="s">
        <v>61</v>
      </c>
      <c r="T43" s="7" t="s">
        <v>602</v>
      </c>
      <c r="U43" s="7" t="s">
        <v>603</v>
      </c>
    </row>
    <row r="44" spans="1:21" x14ac:dyDescent="0.3">
      <c r="A44" s="7" t="s">
        <v>158</v>
      </c>
      <c r="B44" s="7" t="s">
        <v>159</v>
      </c>
      <c r="C44" s="7" t="s">
        <v>160</v>
      </c>
      <c r="D44" s="7" t="s">
        <v>161</v>
      </c>
      <c r="E44" s="18">
        <v>2016</v>
      </c>
      <c r="F44" s="18">
        <v>10</v>
      </c>
      <c r="G44" s="19" t="s">
        <v>125</v>
      </c>
      <c r="H44" s="18" t="s">
        <v>233</v>
      </c>
      <c r="I44" s="18" t="s">
        <v>14</v>
      </c>
      <c r="J44" s="18" t="s">
        <v>14</v>
      </c>
      <c r="K44" s="10">
        <v>42412</v>
      </c>
      <c r="L44" s="10"/>
      <c r="M44" s="10" t="s">
        <v>273</v>
      </c>
      <c r="N44" s="11">
        <v>3.8340000000000001</v>
      </c>
      <c r="O44" s="19" t="s">
        <v>234</v>
      </c>
      <c r="P44" s="7"/>
      <c r="Q44" s="28" t="s">
        <v>328</v>
      </c>
      <c r="R44" s="15" t="s">
        <v>299</v>
      </c>
      <c r="S44" s="7" t="s">
        <v>397</v>
      </c>
      <c r="T44" s="7" t="s">
        <v>602</v>
      </c>
      <c r="U44" s="7" t="s">
        <v>603</v>
      </c>
    </row>
    <row r="45" spans="1:21" x14ac:dyDescent="0.3">
      <c r="A45" s="7" t="s">
        <v>151</v>
      </c>
      <c r="B45" s="7" t="s">
        <v>150</v>
      </c>
      <c r="C45" s="7" t="s">
        <v>155</v>
      </c>
      <c r="D45" s="7" t="s">
        <v>156</v>
      </c>
      <c r="E45" s="18">
        <v>2016</v>
      </c>
      <c r="F45" s="32">
        <v>48</v>
      </c>
      <c r="G45" s="38" t="s">
        <v>91</v>
      </c>
      <c r="H45" s="32" t="s">
        <v>14</v>
      </c>
      <c r="I45" s="32">
        <v>663</v>
      </c>
      <c r="J45" s="32">
        <v>666</v>
      </c>
      <c r="K45" s="10">
        <v>42430</v>
      </c>
      <c r="L45" s="10"/>
      <c r="M45" s="36" t="s">
        <v>273</v>
      </c>
      <c r="N45" s="11">
        <v>0.91200000000000003</v>
      </c>
      <c r="O45" s="19" t="s">
        <v>223</v>
      </c>
      <c r="P45" s="7"/>
      <c r="Q45" s="15" t="s">
        <v>329</v>
      </c>
      <c r="R45" s="15" t="s">
        <v>304</v>
      </c>
      <c r="S45" s="7" t="s">
        <v>403</v>
      </c>
      <c r="T45" s="7" t="s">
        <v>602</v>
      </c>
      <c r="U45" s="7" t="s">
        <v>603</v>
      </c>
    </row>
    <row r="46" spans="1:21" x14ac:dyDescent="0.3">
      <c r="A46" s="7" t="s">
        <v>247</v>
      </c>
      <c r="B46" s="7" t="s">
        <v>178</v>
      </c>
      <c r="C46" s="7" t="s">
        <v>160</v>
      </c>
      <c r="D46" s="7" t="s">
        <v>161</v>
      </c>
      <c r="E46" s="18">
        <v>2016</v>
      </c>
      <c r="F46" s="18">
        <v>10</v>
      </c>
      <c r="G46" s="19" t="s">
        <v>111</v>
      </c>
      <c r="H46" s="18" t="s">
        <v>250</v>
      </c>
      <c r="I46" s="18" t="s">
        <v>14</v>
      </c>
      <c r="J46" s="18" t="s">
        <v>14</v>
      </c>
      <c r="K46" s="10">
        <v>42523</v>
      </c>
      <c r="L46" s="10"/>
      <c r="M46" s="10" t="s">
        <v>273</v>
      </c>
      <c r="N46" s="11">
        <v>3.8340000000000001</v>
      </c>
      <c r="O46" s="19" t="s">
        <v>249</v>
      </c>
      <c r="P46" s="7"/>
      <c r="Q46" s="28" t="s">
        <v>328</v>
      </c>
      <c r="R46" s="15" t="s">
        <v>299</v>
      </c>
      <c r="S46" s="7" t="s">
        <v>397</v>
      </c>
      <c r="T46" s="7" t="s">
        <v>602</v>
      </c>
      <c r="U46" s="7" t="s">
        <v>603</v>
      </c>
    </row>
    <row r="47" spans="1:21" x14ac:dyDescent="0.3">
      <c r="A47" s="7" t="s">
        <v>173</v>
      </c>
      <c r="B47" s="7" t="s">
        <v>174</v>
      </c>
      <c r="C47" s="7" t="s">
        <v>252</v>
      </c>
      <c r="D47" s="7" t="s">
        <v>344</v>
      </c>
      <c r="E47" s="7">
        <v>2016</v>
      </c>
      <c r="F47" s="32">
        <v>16</v>
      </c>
      <c r="G47" s="32" t="s">
        <v>14</v>
      </c>
      <c r="H47" s="32">
        <v>256</v>
      </c>
      <c r="I47" s="32" t="s">
        <v>14</v>
      </c>
      <c r="J47" s="32" t="s">
        <v>14</v>
      </c>
      <c r="K47" s="10">
        <v>42528</v>
      </c>
      <c r="L47" s="10"/>
      <c r="M47" s="36" t="s">
        <v>273</v>
      </c>
      <c r="N47" s="7">
        <v>2.7679999999999998</v>
      </c>
      <c r="O47" s="18" t="s">
        <v>251</v>
      </c>
      <c r="P47" s="7"/>
      <c r="Q47" s="15" t="s">
        <v>401</v>
      </c>
      <c r="R47" s="15" t="s">
        <v>304</v>
      </c>
      <c r="S47" s="7" t="s">
        <v>402</v>
      </c>
      <c r="T47" s="7" t="s">
        <v>602</v>
      </c>
      <c r="U47" s="7" t="s">
        <v>603</v>
      </c>
    </row>
    <row r="48" spans="1:21" x14ac:dyDescent="0.3">
      <c r="A48" s="7" t="s">
        <v>254</v>
      </c>
      <c r="B48" s="7" t="s">
        <v>255</v>
      </c>
      <c r="C48" s="7" t="s">
        <v>148</v>
      </c>
      <c r="D48" s="7" t="s">
        <v>149</v>
      </c>
      <c r="E48" s="7">
        <v>2016</v>
      </c>
      <c r="F48" s="32">
        <v>67</v>
      </c>
      <c r="G48" s="32" t="s">
        <v>14</v>
      </c>
      <c r="H48" s="32" t="s">
        <v>14</v>
      </c>
      <c r="I48" s="32">
        <v>38</v>
      </c>
      <c r="J48" s="32">
        <v>45</v>
      </c>
      <c r="K48" s="26">
        <v>42617</v>
      </c>
      <c r="L48" s="26"/>
      <c r="M48" s="36" t="s">
        <v>273</v>
      </c>
      <c r="N48" s="7">
        <v>6.0289999999999999</v>
      </c>
      <c r="O48" s="18" t="s">
        <v>258</v>
      </c>
      <c r="P48" s="7"/>
      <c r="Q48" s="15" t="s">
        <v>390</v>
      </c>
      <c r="R48" s="15" t="s">
        <v>299</v>
      </c>
      <c r="S48" s="7" t="s">
        <v>393</v>
      </c>
      <c r="T48" s="7" t="s">
        <v>602</v>
      </c>
      <c r="U48" s="7" t="s">
        <v>603</v>
      </c>
    </row>
    <row r="49" spans="1:21" x14ac:dyDescent="0.3">
      <c r="A49" s="7" t="s">
        <v>354</v>
      </c>
      <c r="B49" s="7" t="s">
        <v>355</v>
      </c>
      <c r="C49" s="7" t="s">
        <v>59</v>
      </c>
      <c r="D49" s="7" t="s">
        <v>60</v>
      </c>
      <c r="E49" s="7">
        <v>2016</v>
      </c>
      <c r="F49" s="32">
        <v>230</v>
      </c>
      <c r="G49" s="32" t="s">
        <v>14</v>
      </c>
      <c r="H49" s="32" t="s">
        <v>14</v>
      </c>
      <c r="I49" s="32">
        <v>25</v>
      </c>
      <c r="J49" s="32">
        <v>32</v>
      </c>
      <c r="K49" s="26">
        <v>42665</v>
      </c>
      <c r="L49" s="26"/>
      <c r="M49" s="32" t="s">
        <v>273</v>
      </c>
      <c r="N49" s="7">
        <v>2.3559999999999999</v>
      </c>
      <c r="O49" s="18" t="s">
        <v>288</v>
      </c>
      <c r="P49" s="7"/>
      <c r="Q49" s="15" t="s">
        <v>391</v>
      </c>
      <c r="R49" s="15" t="s">
        <v>299</v>
      </c>
      <c r="S49" s="7" t="s">
        <v>394</v>
      </c>
      <c r="T49" s="7" t="s">
        <v>602</v>
      </c>
      <c r="U49" s="7" t="s">
        <v>603</v>
      </c>
    </row>
    <row r="50" spans="1:21" x14ac:dyDescent="0.3">
      <c r="A50" s="7" t="s">
        <v>289</v>
      </c>
      <c r="B50" s="7" t="s">
        <v>290</v>
      </c>
      <c r="C50" s="7" t="s">
        <v>291</v>
      </c>
      <c r="D50" s="7" t="s">
        <v>292</v>
      </c>
      <c r="E50" s="7">
        <v>2016</v>
      </c>
      <c r="F50" s="32">
        <v>6</v>
      </c>
      <c r="G50" s="32" t="s">
        <v>14</v>
      </c>
      <c r="H50" s="32">
        <v>33842</v>
      </c>
      <c r="I50" s="32" t="s">
        <v>14</v>
      </c>
      <c r="J50" s="32" t="s">
        <v>14</v>
      </c>
      <c r="K50" s="33">
        <v>42670</v>
      </c>
      <c r="L50" s="33"/>
      <c r="M50" s="39" t="s">
        <v>274</v>
      </c>
      <c r="N50" s="21" t="s">
        <v>14</v>
      </c>
      <c r="O50" s="18" t="s">
        <v>343</v>
      </c>
      <c r="P50" s="7"/>
      <c r="Q50" s="24" t="s">
        <v>14</v>
      </c>
      <c r="R50" s="25" t="s">
        <v>14</v>
      </c>
      <c r="S50" s="7"/>
      <c r="T50" s="7" t="s">
        <v>602</v>
      </c>
      <c r="U50" s="7" t="s">
        <v>603</v>
      </c>
    </row>
    <row r="51" spans="1:21" x14ac:dyDescent="0.3">
      <c r="A51" s="7" t="s">
        <v>164</v>
      </c>
      <c r="B51" s="7" t="s">
        <v>165</v>
      </c>
      <c r="C51" s="7" t="s">
        <v>108</v>
      </c>
      <c r="D51" s="7" t="s">
        <v>109</v>
      </c>
      <c r="E51" s="7">
        <v>2016</v>
      </c>
      <c r="F51" s="32">
        <v>14</v>
      </c>
      <c r="G51" s="32" t="s">
        <v>14</v>
      </c>
      <c r="H51" s="32">
        <v>47</v>
      </c>
      <c r="I51" s="32" t="s">
        <v>14</v>
      </c>
      <c r="J51" s="32" t="s">
        <v>14</v>
      </c>
      <c r="K51" s="26">
        <v>42713</v>
      </c>
      <c r="L51" s="26"/>
      <c r="M51" s="32" t="s">
        <v>273</v>
      </c>
      <c r="N51" s="7">
        <v>2.91</v>
      </c>
      <c r="O51" s="18" t="s">
        <v>345</v>
      </c>
      <c r="P51" s="7"/>
      <c r="Q51" s="15" t="s">
        <v>404</v>
      </c>
      <c r="R51" s="15" t="s">
        <v>299</v>
      </c>
      <c r="S51" s="7" t="s">
        <v>405</v>
      </c>
      <c r="T51" s="7" t="s">
        <v>603</v>
      </c>
      <c r="U51" s="7" t="s">
        <v>603</v>
      </c>
    </row>
    <row r="52" spans="1:21" x14ac:dyDescent="0.3">
      <c r="A52" s="7" t="s">
        <v>257</v>
      </c>
      <c r="B52" s="7" t="s">
        <v>248</v>
      </c>
      <c r="C52" s="7" t="s">
        <v>160</v>
      </c>
      <c r="D52" s="7" t="s">
        <v>161</v>
      </c>
      <c r="E52" s="7">
        <v>2016</v>
      </c>
      <c r="F52" s="18">
        <v>10</v>
      </c>
      <c r="G52" s="18">
        <v>12</v>
      </c>
      <c r="H52" s="18" t="s">
        <v>352</v>
      </c>
      <c r="I52" s="18" t="s">
        <v>14</v>
      </c>
      <c r="J52" s="18" t="s">
        <v>14</v>
      </c>
      <c r="K52" s="26">
        <v>42720</v>
      </c>
      <c r="L52" s="26"/>
      <c r="M52" s="18" t="s">
        <v>273</v>
      </c>
      <c r="N52" s="7">
        <v>3.8340000000000001</v>
      </c>
      <c r="O52" s="18" t="s">
        <v>353</v>
      </c>
      <c r="P52" s="7"/>
      <c r="Q52" s="28" t="s">
        <v>328</v>
      </c>
      <c r="R52" s="15" t="s">
        <v>299</v>
      </c>
      <c r="S52" s="7" t="s">
        <v>397</v>
      </c>
      <c r="T52" s="7" t="s">
        <v>602</v>
      </c>
      <c r="U52" s="7" t="s">
        <v>603</v>
      </c>
    </row>
    <row r="53" spans="1:21" x14ac:dyDescent="0.3">
      <c r="A53" s="7" t="s">
        <v>135</v>
      </c>
      <c r="B53" s="7" t="s">
        <v>136</v>
      </c>
      <c r="C53" s="7" t="s">
        <v>133</v>
      </c>
      <c r="D53" s="7" t="s">
        <v>134</v>
      </c>
      <c r="E53" s="7">
        <v>2017</v>
      </c>
      <c r="F53" s="32">
        <v>165</v>
      </c>
      <c r="G53" s="32" t="s">
        <v>14</v>
      </c>
      <c r="H53" s="32" t="s">
        <v>14</v>
      </c>
      <c r="I53" s="32">
        <v>96</v>
      </c>
      <c r="J53" s="32">
        <v>99</v>
      </c>
      <c r="K53" s="26">
        <v>42725</v>
      </c>
      <c r="L53" s="26"/>
      <c r="M53" s="32" t="s">
        <v>273</v>
      </c>
      <c r="N53" s="7">
        <v>2.5089999999999999</v>
      </c>
      <c r="O53" s="18" t="s">
        <v>209</v>
      </c>
      <c r="P53" s="7"/>
      <c r="Q53" s="24"/>
      <c r="R53" s="25"/>
      <c r="S53" s="7"/>
      <c r="T53" s="7" t="s">
        <v>602</v>
      </c>
      <c r="U53" s="7" t="s">
        <v>603</v>
      </c>
    </row>
    <row r="54" spans="1:21" x14ac:dyDescent="0.3">
      <c r="A54" s="7" t="s">
        <v>131</v>
      </c>
      <c r="B54" s="7" t="s">
        <v>132</v>
      </c>
      <c r="C54" s="7" t="s">
        <v>133</v>
      </c>
      <c r="D54" s="7" t="s">
        <v>134</v>
      </c>
      <c r="E54" s="7">
        <v>2017</v>
      </c>
      <c r="F54" s="32">
        <v>165</v>
      </c>
      <c r="G54" s="32" t="s">
        <v>14</v>
      </c>
      <c r="H54" s="32" t="s">
        <v>14</v>
      </c>
      <c r="I54" s="32">
        <v>141</v>
      </c>
      <c r="J54" s="32">
        <v>154</v>
      </c>
      <c r="K54" s="26">
        <v>42725</v>
      </c>
      <c r="L54" s="26"/>
      <c r="M54" s="32" t="s">
        <v>273</v>
      </c>
      <c r="N54" s="7">
        <v>2.5089999999999999</v>
      </c>
      <c r="O54" s="18" t="s">
        <v>228</v>
      </c>
      <c r="P54" s="7"/>
      <c r="Q54" s="24"/>
      <c r="R54" s="25"/>
      <c r="S54" s="7"/>
      <c r="T54" s="7" t="s">
        <v>602</v>
      </c>
      <c r="U54" s="7" t="s">
        <v>603</v>
      </c>
    </row>
    <row r="55" spans="1:21" x14ac:dyDescent="0.3">
      <c r="A55" s="7" t="s">
        <v>336</v>
      </c>
      <c r="B55" s="7" t="s">
        <v>227</v>
      </c>
      <c r="C55" s="7" t="s">
        <v>83</v>
      </c>
      <c r="D55" s="7" t="s">
        <v>84</v>
      </c>
      <c r="E55" s="7">
        <v>2017</v>
      </c>
      <c r="F55" s="32">
        <v>95</v>
      </c>
      <c r="G55" s="32" t="s">
        <v>14</v>
      </c>
      <c r="H55" s="32" t="s">
        <v>14</v>
      </c>
      <c r="I55" s="32">
        <v>27</v>
      </c>
      <c r="J55" s="32">
        <v>35</v>
      </c>
      <c r="K55" s="26">
        <v>42726</v>
      </c>
      <c r="L55" s="26"/>
      <c r="M55" s="32" t="s">
        <v>273</v>
      </c>
      <c r="N55" s="7">
        <v>6.3609999999999998</v>
      </c>
      <c r="O55" s="18" t="s">
        <v>335</v>
      </c>
      <c r="P55" s="7"/>
      <c r="Q55" s="24"/>
      <c r="R55" s="25"/>
      <c r="S55" s="7"/>
      <c r="T55" s="7" t="s">
        <v>602</v>
      </c>
      <c r="U55" s="7" t="s">
        <v>603</v>
      </c>
    </row>
    <row r="56" spans="1:21" x14ac:dyDescent="0.3">
      <c r="A56" s="7" t="s">
        <v>265</v>
      </c>
      <c r="B56" s="7" t="s">
        <v>266</v>
      </c>
      <c r="C56" s="7" t="s">
        <v>68</v>
      </c>
      <c r="D56" s="7" t="s">
        <v>67</v>
      </c>
      <c r="E56" s="7">
        <v>2017</v>
      </c>
      <c r="F56" s="32">
        <v>14</v>
      </c>
      <c r="G56" s="32">
        <v>1</v>
      </c>
      <c r="H56" s="32">
        <v>57</v>
      </c>
      <c r="I56" s="32" t="s">
        <v>14</v>
      </c>
      <c r="J56" s="32" t="s">
        <v>14</v>
      </c>
      <c r="K56" s="33">
        <v>42745</v>
      </c>
      <c r="L56" s="33"/>
      <c r="M56" s="32" t="s">
        <v>273</v>
      </c>
      <c r="N56" s="7">
        <v>2.145</v>
      </c>
      <c r="O56" s="18" t="s">
        <v>356</v>
      </c>
      <c r="P56" s="7"/>
      <c r="Q56" s="24"/>
      <c r="R56" s="25"/>
      <c r="S56" s="7"/>
      <c r="T56" s="7" t="s">
        <v>603</v>
      </c>
      <c r="U56" s="7" t="s">
        <v>603</v>
      </c>
    </row>
    <row r="57" spans="1:21" x14ac:dyDescent="0.3">
      <c r="A57" s="7" t="s">
        <v>242</v>
      </c>
      <c r="B57" s="7" t="s">
        <v>243</v>
      </c>
      <c r="C57" s="7" t="s">
        <v>267</v>
      </c>
      <c r="D57" s="7" t="s">
        <v>268</v>
      </c>
      <c r="E57" s="7">
        <v>2017</v>
      </c>
      <c r="F57" s="18">
        <v>75</v>
      </c>
      <c r="G57" s="18" t="s">
        <v>14</v>
      </c>
      <c r="H57" s="18">
        <v>6</v>
      </c>
      <c r="I57" s="18" t="s">
        <v>14</v>
      </c>
      <c r="J57" s="18" t="s">
        <v>14</v>
      </c>
      <c r="K57" s="26">
        <v>42772</v>
      </c>
      <c r="L57" s="26"/>
      <c r="M57" s="21" t="s">
        <v>274</v>
      </c>
      <c r="N57" s="21" t="s">
        <v>14</v>
      </c>
      <c r="O57" s="18" t="s">
        <v>357</v>
      </c>
      <c r="P57" s="7"/>
      <c r="Q57" s="24" t="s">
        <v>14</v>
      </c>
      <c r="R57" s="25" t="s">
        <v>14</v>
      </c>
      <c r="S57" s="7"/>
      <c r="T57" s="7" t="s">
        <v>603</v>
      </c>
      <c r="U57" s="7" t="s">
        <v>603</v>
      </c>
    </row>
    <row r="58" spans="1:21" s="15" customFormat="1" x14ac:dyDescent="0.3">
      <c r="A58" s="7" t="s">
        <v>263</v>
      </c>
      <c r="B58" s="7" t="s">
        <v>264</v>
      </c>
      <c r="C58" s="7" t="s">
        <v>259</v>
      </c>
      <c r="D58" s="7" t="s">
        <v>262</v>
      </c>
      <c r="E58" s="7">
        <v>2017</v>
      </c>
      <c r="F58" s="32">
        <v>71</v>
      </c>
      <c r="G58" s="32">
        <v>4</v>
      </c>
      <c r="H58" s="32" t="s">
        <v>14</v>
      </c>
      <c r="I58" s="32">
        <v>371</v>
      </c>
      <c r="J58" s="32">
        <v>380</v>
      </c>
      <c r="K58" s="33">
        <v>42826</v>
      </c>
      <c r="L58" s="33"/>
      <c r="M58" s="32" t="s">
        <v>273</v>
      </c>
      <c r="N58" s="7">
        <v>3.9729999999999999</v>
      </c>
      <c r="O58" s="18" t="s">
        <v>342</v>
      </c>
      <c r="P58" s="7"/>
      <c r="Q58" s="24"/>
      <c r="R58" s="25"/>
      <c r="S58" s="7"/>
      <c r="T58" s="7" t="s">
        <v>603</v>
      </c>
      <c r="U58" s="7" t="s">
        <v>603</v>
      </c>
    </row>
    <row r="59" spans="1:21" x14ac:dyDescent="0.3">
      <c r="A59" s="7" t="s">
        <v>340</v>
      </c>
      <c r="B59" s="7" t="s">
        <v>341</v>
      </c>
      <c r="C59" s="7" t="s">
        <v>252</v>
      </c>
      <c r="D59" s="7" t="s">
        <v>344</v>
      </c>
      <c r="E59" s="7">
        <v>2017</v>
      </c>
      <c r="F59" s="32">
        <v>17</v>
      </c>
      <c r="G59" s="32" t="s">
        <v>14</v>
      </c>
      <c r="H59" s="32">
        <v>364</v>
      </c>
      <c r="I59" s="32" t="s">
        <v>14</v>
      </c>
      <c r="J59" s="32" t="s">
        <v>14</v>
      </c>
      <c r="K59" s="33">
        <v>42880</v>
      </c>
      <c r="L59" s="33"/>
      <c r="M59" s="32" t="s">
        <v>273</v>
      </c>
      <c r="N59" s="7">
        <v>2.62</v>
      </c>
      <c r="O59" s="18" t="s">
        <v>376</v>
      </c>
      <c r="P59" s="7"/>
      <c r="Q59" s="24"/>
      <c r="R59" s="25"/>
      <c r="S59" s="7"/>
      <c r="T59" s="7" t="s">
        <v>602</v>
      </c>
      <c r="U59" s="7" t="s">
        <v>603</v>
      </c>
    </row>
    <row r="60" spans="1:21" x14ac:dyDescent="0.3">
      <c r="A60" s="7" t="s">
        <v>408</v>
      </c>
      <c r="B60" s="7" t="s">
        <v>370</v>
      </c>
      <c r="C60" s="7" t="s">
        <v>26</v>
      </c>
      <c r="D60" s="7" t="s">
        <v>29</v>
      </c>
      <c r="E60" s="7">
        <v>2017</v>
      </c>
      <c r="F60" s="32">
        <v>10</v>
      </c>
      <c r="G60" s="32" t="s">
        <v>14</v>
      </c>
      <c r="H60" s="32">
        <v>349</v>
      </c>
      <c r="I60" s="32" t="s">
        <v>14</v>
      </c>
      <c r="J60" s="32" t="s">
        <v>14</v>
      </c>
      <c r="K60" s="33">
        <v>42937</v>
      </c>
      <c r="L60" s="33"/>
      <c r="M60" s="32" t="s">
        <v>273</v>
      </c>
      <c r="N60" s="7">
        <v>3.1629999999999998</v>
      </c>
      <c r="O60" s="18" t="s">
        <v>409</v>
      </c>
      <c r="P60" s="7"/>
      <c r="Q60" s="24"/>
      <c r="R60" s="25"/>
      <c r="S60" s="7"/>
      <c r="T60" s="7" t="s">
        <v>602</v>
      </c>
      <c r="U60" s="7" t="s">
        <v>603</v>
      </c>
    </row>
    <row r="61" spans="1:21" x14ac:dyDescent="0.3">
      <c r="A61" s="7" t="s">
        <v>418</v>
      </c>
      <c r="B61" s="7" t="s">
        <v>378</v>
      </c>
      <c r="C61" s="7" t="s">
        <v>379</v>
      </c>
      <c r="D61" s="7" t="s">
        <v>379</v>
      </c>
      <c r="E61" s="7">
        <v>2017</v>
      </c>
      <c r="F61" s="32">
        <v>9</v>
      </c>
      <c r="G61" s="32" t="s">
        <v>63</v>
      </c>
      <c r="H61" s="32">
        <v>860</v>
      </c>
      <c r="I61" s="32" t="s">
        <v>14</v>
      </c>
      <c r="J61" s="32" t="s">
        <v>14</v>
      </c>
      <c r="K61" s="33">
        <v>42958</v>
      </c>
      <c r="L61" s="33"/>
      <c r="M61" s="32" t="s">
        <v>273</v>
      </c>
      <c r="N61" s="7">
        <v>4.1959999999999997</v>
      </c>
      <c r="O61" s="18" t="s">
        <v>417</v>
      </c>
      <c r="P61" s="7"/>
      <c r="Q61" s="24"/>
      <c r="R61" s="25"/>
      <c r="S61" s="7"/>
      <c r="T61" s="7" t="s">
        <v>603</v>
      </c>
      <c r="U61" s="7" t="s">
        <v>603</v>
      </c>
    </row>
    <row r="62" spans="1:21" x14ac:dyDescent="0.3">
      <c r="A62" s="7" t="s">
        <v>348</v>
      </c>
      <c r="B62" s="7" t="s">
        <v>351</v>
      </c>
      <c r="C62" s="7" t="s">
        <v>349</v>
      </c>
      <c r="D62" s="7" t="s">
        <v>350</v>
      </c>
      <c r="E62" s="7">
        <v>2017</v>
      </c>
      <c r="F62" s="32">
        <v>65</v>
      </c>
      <c r="G62" s="32">
        <v>4</v>
      </c>
      <c r="H62" s="32" t="s">
        <v>14</v>
      </c>
      <c r="I62" s="32">
        <v>661</v>
      </c>
      <c r="J62" s="32">
        <v>668</v>
      </c>
      <c r="K62" s="33">
        <v>42962</v>
      </c>
      <c r="L62" s="33"/>
      <c r="M62" s="32" t="s">
        <v>273</v>
      </c>
      <c r="N62" s="7">
        <v>9.1170000000000009</v>
      </c>
      <c r="O62" s="18" t="s">
        <v>375</v>
      </c>
      <c r="P62" s="7"/>
      <c r="Q62" s="24"/>
      <c r="R62" s="25"/>
      <c r="S62" s="7"/>
      <c r="T62" s="7" t="s">
        <v>603</v>
      </c>
      <c r="U62" s="7" t="s">
        <v>603</v>
      </c>
    </row>
    <row r="63" spans="1:21" x14ac:dyDescent="0.3">
      <c r="A63" s="7" t="s">
        <v>331</v>
      </c>
      <c r="B63" s="7" t="s">
        <v>332</v>
      </c>
      <c r="C63" s="7" t="s">
        <v>333</v>
      </c>
      <c r="D63" s="7" t="s">
        <v>334</v>
      </c>
      <c r="E63" s="7">
        <v>2017</v>
      </c>
      <c r="F63" s="29">
        <v>66</v>
      </c>
      <c r="G63" s="29" t="s">
        <v>14</v>
      </c>
      <c r="H63" s="29" t="s">
        <v>14</v>
      </c>
      <c r="I63" s="29">
        <v>55</v>
      </c>
      <c r="J63" s="29">
        <v>63</v>
      </c>
      <c r="K63" s="30">
        <v>42979</v>
      </c>
      <c r="L63" s="30"/>
      <c r="M63" s="29" t="s">
        <v>273</v>
      </c>
      <c r="N63" s="7">
        <v>4.09</v>
      </c>
      <c r="O63" s="18" t="s">
        <v>369</v>
      </c>
      <c r="P63" s="7"/>
      <c r="Q63" s="24"/>
      <c r="R63" s="25"/>
      <c r="S63" s="7"/>
      <c r="T63" s="7" t="s">
        <v>602</v>
      </c>
      <c r="U63" s="7" t="s">
        <v>603</v>
      </c>
    </row>
    <row r="64" spans="1:21" x14ac:dyDescent="0.3">
      <c r="A64" s="7" t="s">
        <v>412</v>
      </c>
      <c r="B64" s="7" t="s">
        <v>362</v>
      </c>
      <c r="C64" s="7" t="s">
        <v>144</v>
      </c>
      <c r="D64" s="7" t="s">
        <v>144</v>
      </c>
      <c r="E64" s="7">
        <v>2017</v>
      </c>
      <c r="F64" s="29">
        <v>12</v>
      </c>
      <c r="G64" s="29" t="s">
        <v>425</v>
      </c>
      <c r="H64" s="29" t="s">
        <v>426</v>
      </c>
      <c r="I64" s="29" t="s">
        <v>14</v>
      </c>
      <c r="J64" s="29" t="s">
        <v>14</v>
      </c>
      <c r="K64" s="30">
        <v>42992</v>
      </c>
      <c r="L64" s="30"/>
      <c r="M64" s="29" t="s">
        <v>273</v>
      </c>
      <c r="N64" s="7">
        <v>2.766</v>
      </c>
      <c r="O64" s="18" t="s">
        <v>424</v>
      </c>
      <c r="P64" s="7"/>
      <c r="Q64" s="24"/>
      <c r="R64" s="25"/>
      <c r="S64" s="7"/>
      <c r="T64" s="7" t="s">
        <v>603</v>
      </c>
      <c r="U64" s="7" t="s">
        <v>603</v>
      </c>
    </row>
    <row r="65" spans="1:21" x14ac:dyDescent="0.3">
      <c r="A65" s="7" t="s">
        <v>455</v>
      </c>
      <c r="B65" s="7" t="s">
        <v>377</v>
      </c>
      <c r="C65" s="7" t="s">
        <v>26</v>
      </c>
      <c r="D65" s="7" t="s">
        <v>29</v>
      </c>
      <c r="E65" s="7">
        <v>2017</v>
      </c>
      <c r="F65" s="29">
        <v>10</v>
      </c>
      <c r="G65" s="29" t="s">
        <v>14</v>
      </c>
      <c r="H65" s="29">
        <v>424</v>
      </c>
      <c r="I65" s="29" t="s">
        <v>14</v>
      </c>
      <c r="J65" s="29" t="s">
        <v>14</v>
      </c>
      <c r="K65" s="30">
        <v>42996</v>
      </c>
      <c r="L65" s="30"/>
      <c r="M65" s="29" t="s">
        <v>273</v>
      </c>
      <c r="N65" s="7">
        <v>3.1629999999999998</v>
      </c>
      <c r="O65" s="18" t="s">
        <v>427</v>
      </c>
      <c r="P65" s="7"/>
      <c r="Q65" s="24"/>
      <c r="R65" s="25"/>
      <c r="S65" s="7"/>
      <c r="T65" s="7" t="s">
        <v>602</v>
      </c>
      <c r="U65" s="7" t="s">
        <v>603</v>
      </c>
    </row>
    <row r="66" spans="1:21" x14ac:dyDescent="0.3">
      <c r="A66" s="7" t="s">
        <v>432</v>
      </c>
      <c r="B66" s="7" t="s">
        <v>337</v>
      </c>
      <c r="C66" s="7" t="s">
        <v>338</v>
      </c>
      <c r="D66" s="7" t="s">
        <v>339</v>
      </c>
      <c r="E66" s="7">
        <v>2017</v>
      </c>
      <c r="F66" s="29">
        <v>22</v>
      </c>
      <c r="G66" s="29">
        <v>38</v>
      </c>
      <c r="H66" s="29">
        <v>30615</v>
      </c>
      <c r="I66" s="29" t="s">
        <v>14</v>
      </c>
      <c r="J66" s="29" t="s">
        <v>14</v>
      </c>
      <c r="K66" s="30">
        <v>42999</v>
      </c>
      <c r="L66" s="30"/>
      <c r="M66" s="29" t="s">
        <v>273</v>
      </c>
      <c r="N66" s="7">
        <v>7.1269999999999998</v>
      </c>
      <c r="O66" s="18" t="s">
        <v>431</v>
      </c>
      <c r="P66" s="7"/>
      <c r="Q66" s="24"/>
      <c r="R66" s="25"/>
      <c r="S66" s="7"/>
      <c r="T66" s="7" t="s">
        <v>603</v>
      </c>
      <c r="U66" s="7" t="s">
        <v>603</v>
      </c>
    </row>
    <row r="67" spans="1:21" x14ac:dyDescent="0.3">
      <c r="A67" s="7" t="s">
        <v>358</v>
      </c>
      <c r="B67" s="7" t="s">
        <v>359</v>
      </c>
      <c r="C67" s="7" t="s">
        <v>360</v>
      </c>
      <c r="D67" s="7" t="s">
        <v>361</v>
      </c>
      <c r="E67" s="7">
        <v>2017</v>
      </c>
      <c r="F67" s="29">
        <v>105</v>
      </c>
      <c r="G67" s="29" t="s">
        <v>14</v>
      </c>
      <c r="H67" s="29" t="s">
        <v>14</v>
      </c>
      <c r="I67" s="29">
        <v>280</v>
      </c>
      <c r="J67" s="29">
        <v>286</v>
      </c>
      <c r="K67" s="30">
        <v>43005</v>
      </c>
      <c r="L67" s="30"/>
      <c r="M67" s="29" t="s">
        <v>273</v>
      </c>
      <c r="N67" s="7">
        <v>3.4830000000000001</v>
      </c>
      <c r="O67" s="18" t="s">
        <v>433</v>
      </c>
      <c r="P67" s="7"/>
      <c r="Q67" s="24"/>
      <c r="R67" s="25"/>
      <c r="S67" s="7"/>
      <c r="T67" s="7" t="s">
        <v>603</v>
      </c>
      <c r="U67" s="7" t="s">
        <v>603</v>
      </c>
    </row>
    <row r="68" spans="1:21" x14ac:dyDescent="0.3">
      <c r="A68" s="7" t="s">
        <v>367</v>
      </c>
      <c r="B68" s="7" t="s">
        <v>368</v>
      </c>
      <c r="C68" s="7" t="s">
        <v>267</v>
      </c>
      <c r="D68" s="7" t="s">
        <v>268</v>
      </c>
      <c r="E68" s="7">
        <v>2017</v>
      </c>
      <c r="F68" s="29">
        <v>75</v>
      </c>
      <c r="G68" s="29" t="s">
        <v>14</v>
      </c>
      <c r="H68" s="29">
        <v>44</v>
      </c>
      <c r="I68" s="29" t="s">
        <v>14</v>
      </c>
      <c r="J68" s="29" t="s">
        <v>14</v>
      </c>
      <c r="K68" s="30">
        <v>43024</v>
      </c>
      <c r="L68" s="30"/>
      <c r="M68" s="34" t="s">
        <v>274</v>
      </c>
      <c r="N68" s="21" t="s">
        <v>14</v>
      </c>
      <c r="O68" s="18" t="s">
        <v>387</v>
      </c>
      <c r="P68" s="7"/>
      <c r="Q68" s="24" t="s">
        <v>14</v>
      </c>
      <c r="R68" s="25" t="s">
        <v>14</v>
      </c>
      <c r="S68" s="7"/>
      <c r="T68" s="7" t="s">
        <v>603</v>
      </c>
      <c r="U68" s="7" t="s">
        <v>603</v>
      </c>
    </row>
    <row r="69" spans="1:21" x14ac:dyDescent="0.3">
      <c r="A69" s="7" t="s">
        <v>363</v>
      </c>
      <c r="B69" s="7" t="s">
        <v>364</v>
      </c>
      <c r="C69" s="7" t="s">
        <v>365</v>
      </c>
      <c r="D69" s="7" t="s">
        <v>366</v>
      </c>
      <c r="E69" s="7">
        <v>2017</v>
      </c>
      <c r="F69" s="29">
        <v>36</v>
      </c>
      <c r="G69" s="29">
        <v>11</v>
      </c>
      <c r="H69" s="29" t="s">
        <v>14</v>
      </c>
      <c r="I69" s="29">
        <v>2029</v>
      </c>
      <c r="J69" s="29">
        <v>2040</v>
      </c>
      <c r="K69" s="30">
        <v>43040</v>
      </c>
      <c r="L69" s="30"/>
      <c r="M69" s="29" t="s">
        <v>273</v>
      </c>
      <c r="N69" s="7">
        <v>2.5369999999999999</v>
      </c>
      <c r="O69" s="18" t="s">
        <v>384</v>
      </c>
      <c r="P69" s="7"/>
      <c r="Q69" s="24"/>
      <c r="R69" s="25"/>
      <c r="S69" s="7"/>
      <c r="T69" s="7" t="s">
        <v>602</v>
      </c>
      <c r="U69" s="7" t="s">
        <v>603</v>
      </c>
    </row>
    <row r="70" spans="1:21" x14ac:dyDescent="0.3">
      <c r="A70" s="7" t="s">
        <v>435</v>
      </c>
      <c r="B70" s="7" t="s">
        <v>436</v>
      </c>
      <c r="C70" s="7" t="s">
        <v>26</v>
      </c>
      <c r="D70" s="7" t="s">
        <v>29</v>
      </c>
      <c r="E70" s="7">
        <v>2017</v>
      </c>
      <c r="F70" s="32">
        <v>10</v>
      </c>
      <c r="G70" s="32" t="s">
        <v>14</v>
      </c>
      <c r="H70" s="32">
        <v>572</v>
      </c>
      <c r="I70" s="32" t="s">
        <v>14</v>
      </c>
      <c r="J70" s="32" t="s">
        <v>14</v>
      </c>
      <c r="K70" s="33">
        <v>43056</v>
      </c>
      <c r="L70" s="33"/>
      <c r="M70" s="32" t="s">
        <v>273</v>
      </c>
      <c r="N70" s="7">
        <v>3.1629999999999998</v>
      </c>
      <c r="O70" s="18" t="s">
        <v>437</v>
      </c>
      <c r="P70" s="7"/>
      <c r="Q70" s="24"/>
      <c r="R70" s="25"/>
      <c r="S70" s="7"/>
      <c r="T70" s="7" t="s">
        <v>602</v>
      </c>
      <c r="U70" s="7" t="s">
        <v>603</v>
      </c>
    </row>
    <row r="71" spans="1:21" x14ac:dyDescent="0.3">
      <c r="A71" s="7" t="s">
        <v>413</v>
      </c>
      <c r="B71" s="7" t="s">
        <v>414</v>
      </c>
      <c r="C71" s="7" t="s">
        <v>415</v>
      </c>
      <c r="D71" s="7" t="s">
        <v>416</v>
      </c>
      <c r="E71" s="7">
        <v>2017</v>
      </c>
      <c r="F71" s="29" t="s">
        <v>460</v>
      </c>
      <c r="G71" s="29" t="s">
        <v>14</v>
      </c>
      <c r="H71" s="29" t="s">
        <v>14</v>
      </c>
      <c r="I71" s="29">
        <v>1</v>
      </c>
      <c r="J71" s="29">
        <v>13</v>
      </c>
      <c r="K71" s="30">
        <v>43062</v>
      </c>
      <c r="L71" s="30"/>
      <c r="M71" s="34" t="s">
        <v>274</v>
      </c>
      <c r="N71" s="21" t="s">
        <v>14</v>
      </c>
      <c r="O71" s="18" t="s">
        <v>442</v>
      </c>
      <c r="P71" s="7"/>
      <c r="Q71" s="24" t="s">
        <v>14</v>
      </c>
      <c r="R71" s="25" t="s">
        <v>14</v>
      </c>
      <c r="S71" s="7"/>
      <c r="T71" s="7" t="s">
        <v>602</v>
      </c>
      <c r="U71" s="7" t="s">
        <v>603</v>
      </c>
    </row>
    <row r="72" spans="1:21" x14ac:dyDescent="0.3">
      <c r="A72" s="7" t="s">
        <v>191</v>
      </c>
      <c r="B72" s="7" t="s">
        <v>441</v>
      </c>
      <c r="C72" s="7" t="s">
        <v>438</v>
      </c>
      <c r="D72" s="7" t="s">
        <v>439</v>
      </c>
      <c r="E72" s="7">
        <v>2017</v>
      </c>
      <c r="F72" s="32">
        <v>6</v>
      </c>
      <c r="G72" s="32" t="s">
        <v>14</v>
      </c>
      <c r="H72" s="32">
        <v>160</v>
      </c>
      <c r="I72" s="32" t="s">
        <v>14</v>
      </c>
      <c r="J72" s="32" t="s">
        <v>14</v>
      </c>
      <c r="K72" s="36">
        <v>43070</v>
      </c>
      <c r="L72" s="36"/>
      <c r="M72" s="36" t="s">
        <v>273</v>
      </c>
      <c r="N72" s="11">
        <v>2.7080000000000002</v>
      </c>
      <c r="O72" s="19" t="s">
        <v>440</v>
      </c>
      <c r="P72" s="7"/>
      <c r="Q72" s="24"/>
      <c r="R72" s="25"/>
      <c r="S72" s="7"/>
      <c r="T72" s="7" t="s">
        <v>602</v>
      </c>
      <c r="U72" s="7" t="s">
        <v>603</v>
      </c>
    </row>
    <row r="73" spans="1:21" x14ac:dyDescent="0.3">
      <c r="A73" s="7" t="s">
        <v>285</v>
      </c>
      <c r="B73" s="7" t="s">
        <v>286</v>
      </c>
      <c r="C73" s="7" t="s">
        <v>287</v>
      </c>
      <c r="D73" s="7" t="s">
        <v>330</v>
      </c>
      <c r="E73" s="7">
        <v>2018</v>
      </c>
      <c r="F73" s="32">
        <v>28</v>
      </c>
      <c r="G73" s="32" t="s">
        <v>101</v>
      </c>
      <c r="H73" s="32" t="s">
        <v>14</v>
      </c>
      <c r="I73" s="32">
        <v>124</v>
      </c>
      <c r="J73" s="32">
        <v>133</v>
      </c>
      <c r="K73" s="33">
        <v>43132</v>
      </c>
      <c r="L73" s="33"/>
      <c r="M73" s="32" t="s">
        <v>273</v>
      </c>
      <c r="N73" s="7">
        <v>2.234</v>
      </c>
      <c r="O73" s="18" t="s">
        <v>411</v>
      </c>
      <c r="P73" s="7"/>
      <c r="Q73" s="24"/>
      <c r="R73" s="25"/>
      <c r="S73" s="7"/>
      <c r="T73" s="7" t="s">
        <v>603</v>
      </c>
      <c r="U73" s="7" t="s">
        <v>603</v>
      </c>
    </row>
    <row r="74" spans="1:21" x14ac:dyDescent="0.3">
      <c r="A74" s="7" t="s">
        <v>382</v>
      </c>
      <c r="B74" s="7" t="s">
        <v>383</v>
      </c>
      <c r="C74" s="7" t="s">
        <v>380</v>
      </c>
      <c r="D74" s="7" t="s">
        <v>381</v>
      </c>
      <c r="E74" s="7">
        <v>2018</v>
      </c>
      <c r="F74" s="29">
        <v>17</v>
      </c>
      <c r="G74" s="29" t="s">
        <v>14</v>
      </c>
      <c r="H74" s="29">
        <v>65</v>
      </c>
      <c r="I74" s="29" t="s">
        <v>14</v>
      </c>
      <c r="J74" s="29" t="s">
        <v>14</v>
      </c>
      <c r="K74" s="33">
        <v>43136</v>
      </c>
      <c r="L74" s="33"/>
      <c r="M74" s="29" t="s">
        <v>273</v>
      </c>
      <c r="N74" s="7">
        <v>2.798</v>
      </c>
      <c r="O74" s="18" t="s">
        <v>459</v>
      </c>
      <c r="P74" s="7"/>
      <c r="Q74" s="24"/>
      <c r="R74" s="25"/>
      <c r="S74" s="7"/>
      <c r="T74" s="7" t="s">
        <v>602</v>
      </c>
      <c r="U74" s="7" t="s">
        <v>603</v>
      </c>
    </row>
    <row r="75" spans="1:21" x14ac:dyDescent="0.3">
      <c r="A75" s="7" t="s">
        <v>420</v>
      </c>
      <c r="B75" s="7" t="s">
        <v>421</v>
      </c>
      <c r="C75" s="7" t="s">
        <v>59</v>
      </c>
      <c r="D75" s="7" t="s">
        <v>60</v>
      </c>
      <c r="E75" s="7">
        <v>2018</v>
      </c>
      <c r="F75" s="32">
        <v>251</v>
      </c>
      <c r="G75" s="32" t="s">
        <v>14</v>
      </c>
      <c r="H75" s="32" t="s">
        <v>14</v>
      </c>
      <c r="I75" s="32">
        <v>63</v>
      </c>
      <c r="J75" s="32">
        <v>67</v>
      </c>
      <c r="K75" s="33">
        <v>43146</v>
      </c>
      <c r="L75" s="33"/>
      <c r="M75" s="32" t="s">
        <v>273</v>
      </c>
      <c r="N75" s="7">
        <v>2.0089999999999999</v>
      </c>
      <c r="O75" s="18" t="s">
        <v>445</v>
      </c>
      <c r="P75" s="7"/>
      <c r="Q75" s="24"/>
      <c r="R75" s="25"/>
      <c r="S75" s="7"/>
      <c r="T75" s="7" t="s">
        <v>602</v>
      </c>
      <c r="U75" s="7" t="s">
        <v>603</v>
      </c>
    </row>
    <row r="76" spans="1:21" x14ac:dyDescent="0.3">
      <c r="A76" s="7" t="s">
        <v>472</v>
      </c>
      <c r="B76" s="7" t="s">
        <v>450</v>
      </c>
      <c r="C76" s="7" t="s">
        <v>379</v>
      </c>
      <c r="D76" s="7" t="s">
        <v>379</v>
      </c>
      <c r="E76" s="7">
        <v>2018</v>
      </c>
      <c r="F76" s="32">
        <v>10</v>
      </c>
      <c r="G76" s="32" t="s">
        <v>125</v>
      </c>
      <c r="H76" s="32">
        <v>223</v>
      </c>
      <c r="I76" s="32" t="s">
        <v>14</v>
      </c>
      <c r="J76" s="32" t="s">
        <v>14</v>
      </c>
      <c r="K76" s="33">
        <v>43147</v>
      </c>
      <c r="L76" s="33"/>
      <c r="M76" s="32" t="s">
        <v>273</v>
      </c>
      <c r="N76" s="7">
        <v>4.1710000000000003</v>
      </c>
      <c r="O76" s="18" t="s">
        <v>471</v>
      </c>
      <c r="P76" s="7"/>
      <c r="Q76" s="24"/>
      <c r="R76" s="25"/>
      <c r="S76" s="7"/>
      <c r="T76" s="7" t="s">
        <v>603</v>
      </c>
      <c r="U76" s="7" t="s">
        <v>603</v>
      </c>
    </row>
    <row r="77" spans="1:21" x14ac:dyDescent="0.3">
      <c r="A77" s="7" t="s">
        <v>446</v>
      </c>
      <c r="B77" s="7" t="s">
        <v>422</v>
      </c>
      <c r="C77" s="7" t="s">
        <v>410</v>
      </c>
      <c r="D77" s="7" t="s">
        <v>56</v>
      </c>
      <c r="E77" s="7">
        <v>2018</v>
      </c>
      <c r="F77" s="32">
        <v>23</v>
      </c>
      <c r="G77" s="32" t="s">
        <v>91</v>
      </c>
      <c r="H77" s="32" t="s">
        <v>14</v>
      </c>
      <c r="I77" s="32">
        <v>306</v>
      </c>
      <c r="J77" s="32">
        <v>314</v>
      </c>
      <c r="K77" s="33">
        <v>43160</v>
      </c>
      <c r="L77" s="33"/>
      <c r="M77" s="32" t="s">
        <v>273</v>
      </c>
      <c r="N77" s="7">
        <v>2.423</v>
      </c>
      <c r="O77" s="18" t="s">
        <v>447</v>
      </c>
      <c r="P77" s="7"/>
      <c r="Q77" s="24"/>
      <c r="R77" s="25"/>
      <c r="S77" s="7"/>
      <c r="T77" s="7" t="s">
        <v>602</v>
      </c>
      <c r="U77" s="7" t="s">
        <v>603</v>
      </c>
    </row>
    <row r="78" spans="1:21" x14ac:dyDescent="0.3">
      <c r="A78" s="7" t="s">
        <v>610</v>
      </c>
      <c r="B78" s="7" t="s">
        <v>477</v>
      </c>
      <c r="C78" s="7" t="s">
        <v>338</v>
      </c>
      <c r="D78" s="7" t="s">
        <v>339</v>
      </c>
      <c r="E78" s="7">
        <v>2018</v>
      </c>
      <c r="F78" s="32">
        <v>23</v>
      </c>
      <c r="G78" s="32" t="s">
        <v>425</v>
      </c>
      <c r="H78" s="32" t="s">
        <v>478</v>
      </c>
      <c r="I78" s="32" t="s">
        <v>14</v>
      </c>
      <c r="J78" s="32" t="s">
        <v>14</v>
      </c>
      <c r="K78" s="33">
        <v>43160</v>
      </c>
      <c r="L78" s="33"/>
      <c r="M78" s="32" t="s">
        <v>273</v>
      </c>
      <c r="N78" s="7">
        <v>7.4210000000000003</v>
      </c>
      <c r="O78" s="18" t="s">
        <v>479</v>
      </c>
      <c r="P78" s="7"/>
      <c r="Q78" s="24"/>
      <c r="R78" s="25"/>
      <c r="S78" s="7"/>
      <c r="T78" s="7" t="s">
        <v>603</v>
      </c>
      <c r="U78" s="7" t="s">
        <v>603</v>
      </c>
    </row>
    <row r="79" spans="1:21" x14ac:dyDescent="0.3">
      <c r="A79" s="7" t="s">
        <v>388</v>
      </c>
      <c r="B79" s="7" t="s">
        <v>389</v>
      </c>
      <c r="C79" s="7" t="s">
        <v>252</v>
      </c>
      <c r="D79" s="7" t="s">
        <v>344</v>
      </c>
      <c r="E79" s="7">
        <v>2018</v>
      </c>
      <c r="F79" s="32">
        <v>18</v>
      </c>
      <c r="G79" s="32" t="s">
        <v>14</v>
      </c>
      <c r="H79" s="32">
        <v>127</v>
      </c>
      <c r="I79" s="32" t="s">
        <v>14</v>
      </c>
      <c r="J79" s="32" t="s">
        <v>14</v>
      </c>
      <c r="K79" s="33">
        <v>43173</v>
      </c>
      <c r="L79" s="33"/>
      <c r="M79" s="32" t="s">
        <v>273</v>
      </c>
      <c r="N79" s="7">
        <v>2.5649999999999999</v>
      </c>
      <c r="O79" s="18" t="s">
        <v>480</v>
      </c>
      <c r="P79" s="7"/>
      <c r="Q79" s="24"/>
      <c r="R79" s="25"/>
      <c r="S79" s="7"/>
      <c r="T79" s="7" t="s">
        <v>602</v>
      </c>
      <c r="U79" s="7" t="s">
        <v>603</v>
      </c>
    </row>
    <row r="80" spans="1:21" x14ac:dyDescent="0.3">
      <c r="A80" s="7" t="s">
        <v>260</v>
      </c>
      <c r="B80" s="7" t="s">
        <v>261</v>
      </c>
      <c r="C80" s="7" t="s">
        <v>448</v>
      </c>
      <c r="D80" s="7" t="s">
        <v>449</v>
      </c>
      <c r="E80" s="7">
        <v>2018</v>
      </c>
      <c r="F80" s="32">
        <v>14</v>
      </c>
      <c r="G80" s="32" t="s">
        <v>14</v>
      </c>
      <c r="H80" s="32">
        <v>120</v>
      </c>
      <c r="I80" s="32" t="s">
        <v>14</v>
      </c>
      <c r="J80" s="32" t="s">
        <v>14</v>
      </c>
      <c r="K80" s="33">
        <v>43192</v>
      </c>
      <c r="L80" s="33"/>
      <c r="M80" s="32" t="s">
        <v>273</v>
      </c>
      <c r="N80" s="7">
        <v>1.792</v>
      </c>
      <c r="O80" s="18" t="s">
        <v>481</v>
      </c>
      <c r="P80" s="7"/>
      <c r="Q80" s="24"/>
      <c r="R80" s="25"/>
      <c r="S80" s="7"/>
      <c r="T80" s="7" t="s">
        <v>602</v>
      </c>
      <c r="U80" s="7" t="s">
        <v>603</v>
      </c>
    </row>
    <row r="81" spans="1:21" x14ac:dyDescent="0.3">
      <c r="A81" s="7" t="s">
        <v>456</v>
      </c>
      <c r="B81" s="7" t="s">
        <v>451</v>
      </c>
      <c r="C81" s="7" t="s">
        <v>26</v>
      </c>
      <c r="D81" s="7" t="s">
        <v>29</v>
      </c>
      <c r="E81" s="7">
        <v>2018</v>
      </c>
      <c r="F81" s="32">
        <v>11</v>
      </c>
      <c r="G81" s="32" t="s">
        <v>14</v>
      </c>
      <c r="H81" s="32">
        <v>241</v>
      </c>
      <c r="I81" s="32" t="s">
        <v>14</v>
      </c>
      <c r="J81" s="32" t="s">
        <v>14</v>
      </c>
      <c r="K81" s="33">
        <v>43204</v>
      </c>
      <c r="L81" s="33"/>
      <c r="M81" s="32" t="s">
        <v>273</v>
      </c>
      <c r="N81" s="7">
        <v>3.0310000000000001</v>
      </c>
      <c r="O81" s="18" t="s">
        <v>482</v>
      </c>
      <c r="P81" s="7"/>
      <c r="Q81" s="24"/>
      <c r="R81" s="25"/>
      <c r="S81" s="7"/>
      <c r="T81" s="7" t="s">
        <v>602</v>
      </c>
      <c r="U81" s="7" t="s">
        <v>603</v>
      </c>
    </row>
    <row r="82" spans="1:21" x14ac:dyDescent="0.3">
      <c r="A82" s="7" t="s">
        <v>371</v>
      </c>
      <c r="B82" s="7" t="s">
        <v>372</v>
      </c>
      <c r="C82" s="7" t="s">
        <v>373</v>
      </c>
      <c r="D82" s="7" t="s">
        <v>374</v>
      </c>
      <c r="E82" s="7">
        <v>2018</v>
      </c>
      <c r="F82" s="32">
        <v>8</v>
      </c>
      <c r="G82" s="32" t="s">
        <v>14</v>
      </c>
      <c r="H82" s="32">
        <v>6218</v>
      </c>
      <c r="I82" s="32" t="s">
        <v>14</v>
      </c>
      <c r="J82" s="32" t="s">
        <v>14</v>
      </c>
      <c r="K82" s="33">
        <v>43208</v>
      </c>
      <c r="L82" s="33"/>
      <c r="M82" s="32" t="s">
        <v>273</v>
      </c>
      <c r="N82" s="7">
        <v>4.0110000000000001</v>
      </c>
      <c r="O82" s="18" t="s">
        <v>483</v>
      </c>
      <c r="P82" s="7"/>
      <c r="Q82" s="24"/>
      <c r="R82" s="25"/>
      <c r="S82" s="7"/>
      <c r="T82" s="7" t="s">
        <v>602</v>
      </c>
      <c r="U82" s="7" t="s">
        <v>603</v>
      </c>
    </row>
    <row r="83" spans="1:21" x14ac:dyDescent="0.3">
      <c r="A83" s="7" t="s">
        <v>463</v>
      </c>
      <c r="B83" s="7" t="s">
        <v>464</v>
      </c>
      <c r="C83" s="7" t="s">
        <v>465</v>
      </c>
      <c r="D83" s="7" t="s">
        <v>466</v>
      </c>
      <c r="E83" s="7">
        <v>2018</v>
      </c>
      <c r="F83" s="32">
        <v>77</v>
      </c>
      <c r="G83" s="32" t="s">
        <v>548</v>
      </c>
      <c r="H83" s="32" t="s">
        <v>14</v>
      </c>
      <c r="I83" s="32">
        <v>432</v>
      </c>
      <c r="J83" s="32">
        <v>444</v>
      </c>
      <c r="K83" s="33">
        <v>43220</v>
      </c>
      <c r="L83" s="33"/>
      <c r="M83" s="32" t="s">
        <v>273</v>
      </c>
      <c r="N83" s="7">
        <v>5.0170000000000003</v>
      </c>
      <c r="O83" s="18" t="s">
        <v>484</v>
      </c>
      <c r="P83" s="7"/>
      <c r="Q83" s="24"/>
      <c r="R83" s="25"/>
      <c r="S83" s="7"/>
      <c r="T83" s="7" t="s">
        <v>603</v>
      </c>
      <c r="U83" s="7" t="s">
        <v>603</v>
      </c>
    </row>
    <row r="84" spans="1:21" x14ac:dyDescent="0.3">
      <c r="A84" s="7" t="s">
        <v>454</v>
      </c>
      <c r="B84" s="7" t="s">
        <v>430</v>
      </c>
      <c r="C84" s="7" t="s">
        <v>428</v>
      </c>
      <c r="D84" s="7" t="s">
        <v>429</v>
      </c>
      <c r="E84" s="7">
        <v>2018</v>
      </c>
      <c r="F84" s="29">
        <v>142</v>
      </c>
      <c r="G84" s="29">
        <v>9</v>
      </c>
      <c r="H84" s="29" t="s">
        <v>14</v>
      </c>
      <c r="I84" s="29">
        <v>1748</v>
      </c>
      <c r="J84" s="29">
        <v>1758</v>
      </c>
      <c r="K84" s="33">
        <v>43221</v>
      </c>
      <c r="L84" s="33"/>
      <c r="M84" s="29" t="s">
        <v>273</v>
      </c>
      <c r="N84" s="7">
        <v>4.9820000000000002</v>
      </c>
      <c r="O84" s="18" t="s">
        <v>444</v>
      </c>
      <c r="P84" s="7"/>
      <c r="Q84" s="24"/>
      <c r="R84" s="25"/>
      <c r="S84" s="7"/>
      <c r="T84" s="7" t="s">
        <v>603</v>
      </c>
      <c r="U84" s="7" t="s">
        <v>603</v>
      </c>
    </row>
    <row r="85" spans="1:21" x14ac:dyDescent="0.3">
      <c r="A85" s="7" t="s">
        <v>269</v>
      </c>
      <c r="B85" s="7" t="s">
        <v>270</v>
      </c>
      <c r="C85" s="7" t="s">
        <v>419</v>
      </c>
      <c r="D85" s="7" t="s">
        <v>419</v>
      </c>
      <c r="E85" s="7">
        <v>2018</v>
      </c>
      <c r="F85" s="29">
        <v>5</v>
      </c>
      <c r="G85" s="29" t="s">
        <v>14</v>
      </c>
      <c r="H85" s="29" t="s">
        <v>14</v>
      </c>
      <c r="I85" s="29">
        <v>40</v>
      </c>
      <c r="J85" s="29">
        <v>45</v>
      </c>
      <c r="K85" s="33">
        <v>43252</v>
      </c>
      <c r="L85" s="33"/>
      <c r="M85" s="35" t="s">
        <v>274</v>
      </c>
      <c r="N85" s="21" t="s">
        <v>14</v>
      </c>
      <c r="O85" s="18" t="s">
        <v>443</v>
      </c>
      <c r="P85" s="7"/>
      <c r="Q85" s="24" t="s">
        <v>14</v>
      </c>
      <c r="R85" s="25" t="s">
        <v>14</v>
      </c>
      <c r="S85" s="7"/>
      <c r="T85" s="7" t="s">
        <v>603</v>
      </c>
      <c r="U85" s="7" t="s">
        <v>603</v>
      </c>
    </row>
    <row r="86" spans="1:21" x14ac:dyDescent="0.3">
      <c r="A86" s="7" t="s">
        <v>452</v>
      </c>
      <c r="B86" s="7" t="s">
        <v>453</v>
      </c>
      <c r="C86" s="7" t="s">
        <v>89</v>
      </c>
      <c r="D86" s="7" t="s">
        <v>89</v>
      </c>
      <c r="E86" s="7">
        <v>2018</v>
      </c>
      <c r="F86" s="29">
        <v>18</v>
      </c>
      <c r="G86" s="29" t="s">
        <v>101</v>
      </c>
      <c r="H86" s="29">
        <v>775</v>
      </c>
      <c r="I86" s="29" t="s">
        <v>14</v>
      </c>
      <c r="J86" s="29" t="s">
        <v>14</v>
      </c>
      <c r="K86" s="33">
        <v>43271</v>
      </c>
      <c r="L86" s="33"/>
      <c r="M86" s="29" t="s">
        <v>273</v>
      </c>
      <c r="N86" s="7">
        <v>2.5670000000000002</v>
      </c>
      <c r="O86" s="18" t="s">
        <v>500</v>
      </c>
      <c r="P86" s="7"/>
      <c r="Q86" s="24"/>
      <c r="R86" s="25"/>
      <c r="S86" s="7"/>
      <c r="T86" s="7" t="s">
        <v>603</v>
      </c>
      <c r="U86" s="7" t="s">
        <v>603</v>
      </c>
    </row>
    <row r="87" spans="1:21" x14ac:dyDescent="0.3">
      <c r="A87" s="7" t="s">
        <v>473</v>
      </c>
      <c r="B87" s="7" t="s">
        <v>474</v>
      </c>
      <c r="C87" s="7" t="s">
        <v>26</v>
      </c>
      <c r="D87" s="7" t="s">
        <v>29</v>
      </c>
      <c r="E87" s="7">
        <v>2018</v>
      </c>
      <c r="F87" s="29">
        <v>11</v>
      </c>
      <c r="G87" s="29" t="s">
        <v>14</v>
      </c>
      <c r="H87" s="29">
        <v>376</v>
      </c>
      <c r="I87" s="29" t="s">
        <v>14</v>
      </c>
      <c r="J87" s="29" t="s">
        <v>14</v>
      </c>
      <c r="K87" s="33">
        <v>43279</v>
      </c>
      <c r="L87" s="33"/>
      <c r="M87" s="32" t="s">
        <v>273</v>
      </c>
      <c r="N87" s="7">
        <v>3.0310000000000001</v>
      </c>
      <c r="O87" s="18" t="s">
        <v>504</v>
      </c>
      <c r="P87" s="7"/>
      <c r="Q87" s="24"/>
      <c r="R87" s="25"/>
      <c r="S87" s="7"/>
      <c r="T87" s="7" t="s">
        <v>602</v>
      </c>
      <c r="U87" s="7" t="s">
        <v>603</v>
      </c>
    </row>
    <row r="88" spans="1:21" x14ac:dyDescent="0.3">
      <c r="A88" s="7" t="s">
        <v>461</v>
      </c>
      <c r="B88" s="7" t="s">
        <v>462</v>
      </c>
      <c r="C88" s="7" t="s">
        <v>476</v>
      </c>
      <c r="D88" s="7" t="s">
        <v>475</v>
      </c>
      <c r="E88" s="7">
        <v>2018</v>
      </c>
      <c r="F88" s="29">
        <v>120</v>
      </c>
      <c r="G88" s="29" t="s">
        <v>14</v>
      </c>
      <c r="H88" s="29" t="s">
        <v>14</v>
      </c>
      <c r="I88" s="29">
        <v>50</v>
      </c>
      <c r="J88" s="29">
        <v>63</v>
      </c>
      <c r="K88" s="33">
        <v>43281</v>
      </c>
      <c r="L88" s="33"/>
      <c r="M88" s="29" t="s">
        <v>273</v>
      </c>
      <c r="N88" s="7">
        <v>3.7749999999999999</v>
      </c>
      <c r="O88" s="18" t="s">
        <v>506</v>
      </c>
      <c r="P88" s="7"/>
      <c r="Q88" s="24"/>
      <c r="R88" s="25"/>
      <c r="S88" s="7"/>
      <c r="T88" s="7" t="s">
        <v>603</v>
      </c>
      <c r="U88" s="7" t="s">
        <v>603</v>
      </c>
    </row>
    <row r="89" spans="1:21" x14ac:dyDescent="0.3">
      <c r="A89" s="7" t="s">
        <v>495</v>
      </c>
      <c r="B89" s="7" t="s">
        <v>494</v>
      </c>
      <c r="C89" s="7" t="s">
        <v>160</v>
      </c>
      <c r="D89" s="7" t="s">
        <v>161</v>
      </c>
      <c r="E89" s="7">
        <v>2018</v>
      </c>
      <c r="F89" s="29">
        <v>12</v>
      </c>
      <c r="G89" s="29" t="s">
        <v>425</v>
      </c>
      <c r="H89" s="29" t="s">
        <v>537</v>
      </c>
      <c r="I89" s="29" t="s">
        <v>14</v>
      </c>
      <c r="J89" s="29" t="s">
        <v>14</v>
      </c>
      <c r="K89" s="33">
        <v>43355</v>
      </c>
      <c r="L89" s="33"/>
      <c r="M89" s="29" t="s">
        <v>273</v>
      </c>
      <c r="N89" s="7">
        <v>4.4870000000000001</v>
      </c>
      <c r="O89" s="18" t="s">
        <v>538</v>
      </c>
      <c r="P89" s="7"/>
      <c r="Q89" s="24"/>
      <c r="R89" s="25"/>
      <c r="S89" s="7"/>
      <c r="T89" s="7" t="s">
        <v>602</v>
      </c>
      <c r="U89" s="7" t="s">
        <v>603</v>
      </c>
    </row>
    <row r="90" spans="1:21" x14ac:dyDescent="0.3">
      <c r="A90" s="7" t="s">
        <v>457</v>
      </c>
      <c r="B90" s="7" t="s">
        <v>458</v>
      </c>
      <c r="C90" s="7" t="s">
        <v>144</v>
      </c>
      <c r="D90" s="7" t="s">
        <v>144</v>
      </c>
      <c r="E90" s="7">
        <v>2018</v>
      </c>
      <c r="F90" s="29">
        <v>13</v>
      </c>
      <c r="G90" s="29" t="s">
        <v>425</v>
      </c>
      <c r="H90" s="29" t="s">
        <v>532</v>
      </c>
      <c r="I90" s="29" t="s">
        <v>14</v>
      </c>
      <c r="J90" s="29" t="s">
        <v>14</v>
      </c>
      <c r="K90" s="33">
        <v>43355</v>
      </c>
      <c r="L90" s="33"/>
      <c r="M90" s="29" t="s">
        <v>273</v>
      </c>
      <c r="N90" s="7">
        <v>2.7759999999999998</v>
      </c>
      <c r="O90" s="18" t="s">
        <v>533</v>
      </c>
      <c r="P90" s="7"/>
      <c r="Q90" s="24"/>
      <c r="R90" s="25"/>
      <c r="S90" s="7"/>
      <c r="T90" s="7" t="s">
        <v>602</v>
      </c>
      <c r="U90" s="7" t="s">
        <v>603</v>
      </c>
    </row>
    <row r="91" spans="1:21" x14ac:dyDescent="0.3">
      <c r="A91" s="7" t="s">
        <v>530</v>
      </c>
      <c r="B91" s="7" t="s">
        <v>531</v>
      </c>
      <c r="C91" s="7" t="s">
        <v>26</v>
      </c>
      <c r="D91" s="7" t="s">
        <v>29</v>
      </c>
      <c r="E91" s="7">
        <v>2018</v>
      </c>
      <c r="F91" s="29">
        <v>11</v>
      </c>
      <c r="G91" s="29" t="s">
        <v>14</v>
      </c>
      <c r="H91" s="29">
        <v>518</v>
      </c>
      <c r="I91" s="29" t="s">
        <v>14</v>
      </c>
      <c r="J91" s="29" t="s">
        <v>14</v>
      </c>
      <c r="K91" s="33">
        <v>43363</v>
      </c>
      <c r="L91" s="33"/>
      <c r="M91" s="29" t="s">
        <v>273</v>
      </c>
      <c r="N91" s="7">
        <v>3.0310000000000001</v>
      </c>
      <c r="O91" s="18" t="s">
        <v>539</v>
      </c>
      <c r="P91" s="7"/>
      <c r="Q91" s="24"/>
      <c r="R91" s="25"/>
      <c r="S91" s="7"/>
      <c r="T91" s="7" t="s">
        <v>602</v>
      </c>
      <c r="U91" s="7" t="s">
        <v>603</v>
      </c>
    </row>
    <row r="92" spans="1:21" x14ac:dyDescent="0.3">
      <c r="A92" s="7" t="s">
        <v>524</v>
      </c>
      <c r="B92" s="7" t="s">
        <v>525</v>
      </c>
      <c r="C92" s="7" t="s">
        <v>26</v>
      </c>
      <c r="D92" s="7" t="s">
        <v>29</v>
      </c>
      <c r="E92" s="7">
        <v>2018</v>
      </c>
      <c r="F92" s="29">
        <v>11</v>
      </c>
      <c r="G92" s="29" t="s">
        <v>14</v>
      </c>
      <c r="H92" s="29">
        <v>569</v>
      </c>
      <c r="I92" s="29" t="s">
        <v>14</v>
      </c>
      <c r="J92" s="29" t="s">
        <v>14</v>
      </c>
      <c r="K92" s="33">
        <v>43403</v>
      </c>
      <c r="L92" s="33"/>
      <c r="M92" s="29" t="s">
        <v>273</v>
      </c>
      <c r="N92" s="7">
        <v>3.0310000000000001</v>
      </c>
      <c r="O92" s="18" t="s">
        <v>549</v>
      </c>
      <c r="P92" s="7"/>
      <c r="Q92" s="24"/>
      <c r="R92" s="25"/>
      <c r="S92" s="7"/>
      <c r="T92" s="7" t="s">
        <v>602</v>
      </c>
      <c r="U92" s="7" t="s">
        <v>603</v>
      </c>
    </row>
    <row r="93" spans="1:21" x14ac:dyDescent="0.3">
      <c r="A93" s="7" t="s">
        <v>554</v>
      </c>
      <c r="B93" s="7" t="s">
        <v>508</v>
      </c>
      <c r="C93" s="7" t="s">
        <v>26</v>
      </c>
      <c r="D93" s="7" t="s">
        <v>29</v>
      </c>
      <c r="E93" s="7">
        <v>2018</v>
      </c>
      <c r="F93" s="29">
        <v>11</v>
      </c>
      <c r="G93" s="29" t="s">
        <v>14</v>
      </c>
      <c r="H93" s="29">
        <v>578</v>
      </c>
      <c r="I93" s="29" t="s">
        <v>14</v>
      </c>
      <c r="J93" s="29" t="s">
        <v>14</v>
      </c>
      <c r="K93" s="33">
        <v>43410</v>
      </c>
      <c r="L93" s="33"/>
      <c r="M93" s="29" t="s">
        <v>273</v>
      </c>
      <c r="N93" s="7">
        <v>3.0310000000000001</v>
      </c>
      <c r="O93" s="18" t="s">
        <v>555</v>
      </c>
      <c r="P93" s="7"/>
      <c r="Q93" s="24"/>
      <c r="R93" s="25"/>
      <c r="S93" s="7"/>
      <c r="T93" s="7" t="s">
        <v>602</v>
      </c>
      <c r="U93" s="7" t="s">
        <v>603</v>
      </c>
    </row>
    <row r="94" spans="1:21" x14ac:dyDescent="0.3">
      <c r="A94" s="7" t="s">
        <v>493</v>
      </c>
      <c r="B94" s="7" t="s">
        <v>246</v>
      </c>
      <c r="C94" s="7" t="s">
        <v>144</v>
      </c>
      <c r="D94" s="7" t="s">
        <v>144</v>
      </c>
      <c r="E94" s="7">
        <v>2018</v>
      </c>
      <c r="F94" s="29">
        <v>13</v>
      </c>
      <c r="G94" s="29" t="s">
        <v>69</v>
      </c>
      <c r="H94" s="29" t="s">
        <v>557</v>
      </c>
      <c r="I94" s="29" t="s">
        <v>14</v>
      </c>
      <c r="J94" s="29" t="s">
        <v>14</v>
      </c>
      <c r="K94" s="33">
        <v>43413</v>
      </c>
      <c r="L94" s="33"/>
      <c r="M94" s="29" t="s">
        <v>273</v>
      </c>
      <c r="N94" s="7">
        <v>2.7759999999999998</v>
      </c>
      <c r="O94" s="18" t="s">
        <v>556</v>
      </c>
      <c r="P94" s="7"/>
      <c r="Q94" s="24"/>
      <c r="R94" s="25"/>
      <c r="S94" s="7"/>
      <c r="T94" s="7" t="s">
        <v>602</v>
      </c>
      <c r="U94" s="7" t="s">
        <v>603</v>
      </c>
    </row>
    <row r="95" spans="1:21" x14ac:dyDescent="0.3">
      <c r="A95" s="7" t="s">
        <v>573</v>
      </c>
      <c r="B95" s="7" t="s">
        <v>572</v>
      </c>
      <c r="C95" s="7" t="s">
        <v>570</v>
      </c>
      <c r="D95" s="7" t="s">
        <v>571</v>
      </c>
      <c r="E95" s="18">
        <v>2018</v>
      </c>
      <c r="F95" s="29">
        <v>16</v>
      </c>
      <c r="G95" s="37" t="s">
        <v>65</v>
      </c>
      <c r="H95" s="29" t="s">
        <v>569</v>
      </c>
      <c r="I95" s="29" t="s">
        <v>14</v>
      </c>
      <c r="J95" s="29" t="s">
        <v>14</v>
      </c>
      <c r="K95" s="10">
        <v>43438</v>
      </c>
      <c r="L95" s="10"/>
      <c r="M95" s="35" t="s">
        <v>274</v>
      </c>
      <c r="N95" s="21" t="s">
        <v>14</v>
      </c>
      <c r="O95" s="19" t="s">
        <v>574</v>
      </c>
      <c r="P95" s="7"/>
      <c r="Q95" s="24"/>
      <c r="R95" s="25"/>
      <c r="S95" s="7"/>
      <c r="T95" s="7" t="s">
        <v>602</v>
      </c>
      <c r="U95" s="7" t="s">
        <v>603</v>
      </c>
    </row>
    <row r="96" spans="1:21" x14ac:dyDescent="0.3">
      <c r="A96" s="7" t="s">
        <v>568</v>
      </c>
      <c r="B96" s="7" t="s">
        <v>507</v>
      </c>
      <c r="C96" s="7" t="s">
        <v>26</v>
      </c>
      <c r="D96" s="7" t="s">
        <v>29</v>
      </c>
      <c r="E96" s="7">
        <v>2018</v>
      </c>
      <c r="F96" s="29">
        <v>11</v>
      </c>
      <c r="G96" s="29" t="s">
        <v>14</v>
      </c>
      <c r="H96" s="29">
        <v>636</v>
      </c>
      <c r="I96" s="29" t="s">
        <v>14</v>
      </c>
      <c r="J96" s="29" t="s">
        <v>14</v>
      </c>
      <c r="K96" s="33">
        <v>43448</v>
      </c>
      <c r="L96" s="33"/>
      <c r="M96" s="29" t="s">
        <v>273</v>
      </c>
      <c r="N96" s="7">
        <v>3.0310000000000001</v>
      </c>
      <c r="O96" s="18" t="s">
        <v>579</v>
      </c>
      <c r="P96" s="7"/>
      <c r="Q96" s="24"/>
      <c r="R96" s="25"/>
      <c r="S96" s="7"/>
      <c r="T96" s="7" t="s">
        <v>602</v>
      </c>
      <c r="U96" s="7" t="s">
        <v>603</v>
      </c>
    </row>
    <row r="97" spans="1:21" x14ac:dyDescent="0.3">
      <c r="A97" s="7" t="s">
        <v>551</v>
      </c>
      <c r="B97" s="7" t="s">
        <v>505</v>
      </c>
      <c r="C97" s="7" t="s">
        <v>81</v>
      </c>
      <c r="D97" s="7" t="s">
        <v>82</v>
      </c>
      <c r="E97" s="7">
        <v>2019</v>
      </c>
      <c r="F97" s="29">
        <v>19</v>
      </c>
      <c r="G97" s="29" t="s">
        <v>101</v>
      </c>
      <c r="H97" s="29" t="s">
        <v>14</v>
      </c>
      <c r="I97" s="29">
        <v>56</v>
      </c>
      <c r="J97" s="29">
        <v>66</v>
      </c>
      <c r="K97" s="33">
        <v>43466</v>
      </c>
      <c r="L97" s="33"/>
      <c r="M97" s="29" t="s">
        <v>273</v>
      </c>
      <c r="N97" s="7"/>
      <c r="O97" s="18" t="s">
        <v>552</v>
      </c>
      <c r="P97" s="7"/>
      <c r="Q97" s="24"/>
      <c r="R97" s="25"/>
      <c r="S97" s="7"/>
      <c r="T97" s="7" t="s">
        <v>603</v>
      </c>
      <c r="U97" s="7" t="s">
        <v>603</v>
      </c>
    </row>
    <row r="98" spans="1:21" x14ac:dyDescent="0.3">
      <c r="A98" s="7" t="s">
        <v>604</v>
      </c>
      <c r="B98" s="7" t="s">
        <v>601</v>
      </c>
      <c r="C98" s="7" t="s">
        <v>509</v>
      </c>
      <c r="D98" s="7" t="s">
        <v>510</v>
      </c>
      <c r="E98" s="7">
        <v>2019</v>
      </c>
      <c r="F98" s="29">
        <v>147</v>
      </c>
      <c r="G98" s="29" t="s">
        <v>14</v>
      </c>
      <c r="H98" s="29" t="s">
        <v>598</v>
      </c>
      <c r="I98" s="29" t="s">
        <v>14</v>
      </c>
      <c r="J98" s="29" t="s">
        <v>14</v>
      </c>
      <c r="K98" s="33">
        <v>43490</v>
      </c>
      <c r="L98" s="33"/>
      <c r="M98" s="29" t="s">
        <v>273</v>
      </c>
      <c r="N98" s="7"/>
      <c r="O98" s="18" t="s">
        <v>590</v>
      </c>
      <c r="P98" s="7"/>
      <c r="Q98" s="24"/>
      <c r="R98" s="25"/>
      <c r="S98" s="7"/>
      <c r="T98" s="7" t="s">
        <v>603</v>
      </c>
      <c r="U98" s="7" t="s">
        <v>603</v>
      </c>
    </row>
    <row r="99" spans="1:21" x14ac:dyDescent="0.3">
      <c r="A99" s="7" t="s">
        <v>517</v>
      </c>
      <c r="B99" s="7" t="s">
        <v>518</v>
      </c>
      <c r="C99" s="7" t="s">
        <v>511</v>
      </c>
      <c r="D99" s="7" t="s">
        <v>512</v>
      </c>
      <c r="E99" s="7">
        <v>2019</v>
      </c>
      <c r="F99" s="29">
        <v>169</v>
      </c>
      <c r="G99" s="29" t="s">
        <v>14</v>
      </c>
      <c r="H99" s="29" t="s">
        <v>14</v>
      </c>
      <c r="I99" s="29">
        <v>72</v>
      </c>
      <c r="J99" s="29">
        <v>78</v>
      </c>
      <c r="K99" s="33">
        <v>43497</v>
      </c>
      <c r="L99" s="33"/>
      <c r="M99" s="29" t="s">
        <v>273</v>
      </c>
      <c r="N99" s="7"/>
      <c r="O99" s="18" t="s">
        <v>547</v>
      </c>
      <c r="P99" s="7"/>
      <c r="Q99" s="24"/>
      <c r="R99" s="25"/>
      <c r="S99" s="7"/>
      <c r="T99" s="7" t="s">
        <v>603</v>
      </c>
      <c r="U99" s="7" t="s">
        <v>603</v>
      </c>
    </row>
    <row r="100" spans="1:21" x14ac:dyDescent="0.3">
      <c r="A100" s="7" t="s">
        <v>560</v>
      </c>
      <c r="B100" s="7" t="s">
        <v>561</v>
      </c>
      <c r="C100" s="7" t="s">
        <v>562</v>
      </c>
      <c r="D100" s="7" t="s">
        <v>563</v>
      </c>
      <c r="E100" s="7">
        <v>2019</v>
      </c>
      <c r="F100" s="32">
        <v>4</v>
      </c>
      <c r="G100" s="32" t="s">
        <v>14</v>
      </c>
      <c r="H100" s="32" t="s">
        <v>588</v>
      </c>
      <c r="I100" s="32" t="s">
        <v>14</v>
      </c>
      <c r="J100" s="32" t="s">
        <v>14</v>
      </c>
      <c r="K100" s="33">
        <v>43497</v>
      </c>
      <c r="L100" s="33"/>
      <c r="M100" s="32" t="s">
        <v>274</v>
      </c>
      <c r="N100" s="7"/>
      <c r="O100" s="18" t="s">
        <v>585</v>
      </c>
      <c r="P100" s="7"/>
      <c r="Q100" s="24"/>
      <c r="R100" s="25"/>
      <c r="S100" s="7"/>
      <c r="T100" s="7" t="s">
        <v>603</v>
      </c>
      <c r="U100" s="7" t="s">
        <v>603</v>
      </c>
    </row>
    <row r="101" spans="1:21" x14ac:dyDescent="0.3">
      <c r="A101" s="7" t="s">
        <v>542</v>
      </c>
      <c r="B101" s="7" t="s">
        <v>543</v>
      </c>
      <c r="C101" s="7" t="s">
        <v>267</v>
      </c>
      <c r="D101" s="7" t="s">
        <v>268</v>
      </c>
      <c r="E101" s="7">
        <v>2019</v>
      </c>
      <c r="F101" s="32">
        <v>77</v>
      </c>
      <c r="G101" s="32" t="s">
        <v>14</v>
      </c>
      <c r="H101" s="32">
        <v>6</v>
      </c>
      <c r="I101" s="32" t="s">
        <v>14</v>
      </c>
      <c r="J101" s="32" t="s">
        <v>14</v>
      </c>
      <c r="K101" s="33">
        <v>43510</v>
      </c>
      <c r="L101" s="33"/>
      <c r="M101" s="32" t="s">
        <v>274</v>
      </c>
      <c r="N101" s="7"/>
      <c r="O101" s="18" t="s">
        <v>594</v>
      </c>
      <c r="P101" s="7"/>
      <c r="Q101" s="24"/>
      <c r="R101" s="25"/>
      <c r="S101" s="7"/>
      <c r="T101" s="7" t="s">
        <v>603</v>
      </c>
      <c r="U101" s="7" t="s">
        <v>603</v>
      </c>
    </row>
    <row r="102" spans="1:21" x14ac:dyDescent="0.3">
      <c r="A102" s="7" t="s">
        <v>521</v>
      </c>
      <c r="B102" s="7" t="s">
        <v>522</v>
      </c>
      <c r="C102" s="7" t="s">
        <v>511</v>
      </c>
      <c r="D102" s="7" t="s">
        <v>512</v>
      </c>
      <c r="E102" s="7">
        <v>2019</v>
      </c>
      <c r="F102" s="32">
        <v>170</v>
      </c>
      <c r="G102" s="32" t="s">
        <v>14</v>
      </c>
      <c r="H102" s="32" t="s">
        <v>14</v>
      </c>
      <c r="I102" s="32">
        <v>416</v>
      </c>
      <c r="J102" s="32">
        <v>421</v>
      </c>
      <c r="K102" s="33">
        <v>43525</v>
      </c>
      <c r="L102" s="33"/>
      <c r="M102" s="32" t="s">
        <v>273</v>
      </c>
      <c r="N102" s="7"/>
      <c r="O102" s="18" t="s">
        <v>582</v>
      </c>
      <c r="P102" s="7"/>
      <c r="Q102" s="24"/>
      <c r="R102" s="25"/>
      <c r="S102" s="7"/>
      <c r="T102" s="7" t="s">
        <v>603</v>
      </c>
      <c r="U102" s="7" t="s">
        <v>603</v>
      </c>
    </row>
    <row r="103" spans="1:21" x14ac:dyDescent="0.3">
      <c r="A103" s="7" t="s">
        <v>534</v>
      </c>
      <c r="B103" s="7" t="s">
        <v>535</v>
      </c>
      <c r="C103" s="7" t="s">
        <v>509</v>
      </c>
      <c r="D103" s="7" t="s">
        <v>510</v>
      </c>
      <c r="E103" s="7">
        <v>2019</v>
      </c>
      <c r="F103" s="32">
        <v>147</v>
      </c>
      <c r="G103" s="32" t="s">
        <v>14</v>
      </c>
      <c r="H103" s="32" t="s">
        <v>617</v>
      </c>
      <c r="I103" s="32" t="s">
        <v>14</v>
      </c>
      <c r="J103" s="32" t="s">
        <v>14</v>
      </c>
      <c r="K103" s="33">
        <v>43536</v>
      </c>
      <c r="L103" s="33"/>
      <c r="M103" s="32" t="s">
        <v>273</v>
      </c>
      <c r="N103" s="7"/>
      <c r="O103" s="18" t="s">
        <v>615</v>
      </c>
      <c r="P103" s="7"/>
      <c r="Q103" s="24"/>
      <c r="R103" s="25"/>
      <c r="S103" s="7"/>
      <c r="T103" s="7" t="s">
        <v>603</v>
      </c>
      <c r="U103" s="7" t="s">
        <v>603</v>
      </c>
    </row>
    <row r="104" spans="1:21" x14ac:dyDescent="0.3">
      <c r="A104" s="7" t="s">
        <v>596</v>
      </c>
      <c r="B104" s="7" t="s">
        <v>597</v>
      </c>
      <c r="C104" s="7" t="s">
        <v>26</v>
      </c>
      <c r="D104" s="7" t="s">
        <v>29</v>
      </c>
      <c r="E104" s="7">
        <v>2019</v>
      </c>
      <c r="F104" s="32">
        <v>12</v>
      </c>
      <c r="G104" s="32" t="s">
        <v>14</v>
      </c>
      <c r="H104" s="32">
        <v>113</v>
      </c>
      <c r="I104" s="32" t="s">
        <v>14</v>
      </c>
      <c r="J104" s="32" t="s">
        <v>14</v>
      </c>
      <c r="K104" s="33">
        <v>43539</v>
      </c>
      <c r="L104" s="33"/>
      <c r="M104" s="32" t="s">
        <v>273</v>
      </c>
      <c r="N104" s="7"/>
      <c r="O104" s="18" t="s">
        <v>618</v>
      </c>
      <c r="P104" s="7"/>
      <c r="Q104" s="24"/>
      <c r="R104" s="25"/>
      <c r="S104" s="7"/>
      <c r="T104" s="7" t="s">
        <v>603</v>
      </c>
      <c r="U104" s="7" t="s">
        <v>603</v>
      </c>
    </row>
    <row r="105" spans="1:21" x14ac:dyDescent="0.3">
      <c r="A105" s="7" t="s">
        <v>553</v>
      </c>
      <c r="B105" s="7" t="s">
        <v>619</v>
      </c>
      <c r="C105" s="7" t="s">
        <v>509</v>
      </c>
      <c r="D105" s="7" t="s">
        <v>510</v>
      </c>
      <c r="E105" s="7">
        <v>2019</v>
      </c>
      <c r="F105" s="32">
        <v>147</v>
      </c>
      <c r="G105" s="32" t="s">
        <v>14</v>
      </c>
      <c r="H105" s="32" t="s">
        <v>620</v>
      </c>
      <c r="I105" s="32" t="s">
        <v>14</v>
      </c>
      <c r="J105" s="32" t="s">
        <v>14</v>
      </c>
      <c r="K105" s="33">
        <v>43542</v>
      </c>
      <c r="L105" s="33"/>
      <c r="M105" s="32" t="s">
        <v>273</v>
      </c>
      <c r="N105" s="7"/>
      <c r="O105" s="18" t="s">
        <v>621</v>
      </c>
      <c r="P105" s="7"/>
      <c r="Q105" s="24"/>
      <c r="R105" s="25"/>
      <c r="S105" s="7"/>
      <c r="T105" s="7" t="s">
        <v>603</v>
      </c>
      <c r="U105" s="7" t="s">
        <v>603</v>
      </c>
    </row>
    <row r="106" spans="1:21" x14ac:dyDescent="0.3">
      <c r="A106" s="7" t="s">
        <v>519</v>
      </c>
      <c r="B106" s="7" t="s">
        <v>520</v>
      </c>
      <c r="C106" s="7" t="s">
        <v>511</v>
      </c>
      <c r="D106" s="7" t="s">
        <v>512</v>
      </c>
      <c r="E106" s="7">
        <v>2019</v>
      </c>
      <c r="F106" s="32">
        <v>171</v>
      </c>
      <c r="G106" s="32" t="s">
        <v>14</v>
      </c>
      <c r="H106" s="32" t="s">
        <v>14</v>
      </c>
      <c r="I106" s="32">
        <v>185</v>
      </c>
      <c r="J106" s="32">
        <v>192</v>
      </c>
      <c r="K106" s="33">
        <v>43556</v>
      </c>
      <c r="L106" s="33"/>
      <c r="M106" s="32" t="s">
        <v>273</v>
      </c>
      <c r="N106" s="7"/>
      <c r="O106" s="18" t="s">
        <v>589</v>
      </c>
      <c r="P106" s="7"/>
      <c r="Q106" s="24"/>
      <c r="R106" s="25"/>
      <c r="S106" s="7"/>
      <c r="T106" s="7" t="s">
        <v>603</v>
      </c>
      <c r="U106" s="7" t="s">
        <v>603</v>
      </c>
    </row>
    <row r="107" spans="1:21" x14ac:dyDescent="0.3">
      <c r="A107" s="7" t="s">
        <v>577</v>
      </c>
      <c r="B107" s="7" t="s">
        <v>578</v>
      </c>
      <c r="C107" s="7" t="s">
        <v>476</v>
      </c>
      <c r="D107" s="7" t="s">
        <v>475</v>
      </c>
      <c r="E107" s="7">
        <v>2019</v>
      </c>
      <c r="F107" s="32">
        <v>126</v>
      </c>
      <c r="G107" s="32" t="s">
        <v>14</v>
      </c>
      <c r="H107" s="32" t="s">
        <v>14</v>
      </c>
      <c r="I107" s="32">
        <v>79</v>
      </c>
      <c r="J107" s="32">
        <v>96</v>
      </c>
      <c r="K107" s="33">
        <v>43556</v>
      </c>
      <c r="L107" s="33"/>
      <c r="M107" s="32" t="s">
        <v>273</v>
      </c>
      <c r="N107" s="7"/>
      <c r="O107" s="18" t="s">
        <v>608</v>
      </c>
      <c r="P107" s="7"/>
      <c r="Q107" s="24"/>
      <c r="R107" s="25"/>
      <c r="S107" s="7"/>
      <c r="T107" s="7" t="s">
        <v>603</v>
      </c>
      <c r="U107" s="7" t="s">
        <v>603</v>
      </c>
    </row>
    <row r="108" spans="1:21" x14ac:dyDescent="0.3">
      <c r="A108" s="7" t="s">
        <v>496</v>
      </c>
      <c r="B108" s="7" t="s">
        <v>497</v>
      </c>
      <c r="C108" s="7" t="s">
        <v>498</v>
      </c>
      <c r="D108" s="7" t="s">
        <v>499</v>
      </c>
      <c r="E108" s="7">
        <v>2019</v>
      </c>
      <c r="F108" s="32">
        <v>10</v>
      </c>
      <c r="G108" s="32" t="s">
        <v>91</v>
      </c>
      <c r="H108" s="32" t="s">
        <v>14</v>
      </c>
      <c r="I108" s="32">
        <v>598</v>
      </c>
      <c r="J108" s="32">
        <v>605</v>
      </c>
      <c r="K108" s="33">
        <v>43556</v>
      </c>
      <c r="L108" s="33"/>
      <c r="M108" s="32" t="s">
        <v>273</v>
      </c>
      <c r="N108" s="7"/>
      <c r="O108" s="18" t="s">
        <v>583</v>
      </c>
      <c r="P108" s="7"/>
      <c r="Q108" s="24"/>
      <c r="R108" s="25"/>
      <c r="S108" s="7"/>
      <c r="T108" s="7" t="s">
        <v>603</v>
      </c>
      <c r="U108" s="7" t="s">
        <v>603</v>
      </c>
    </row>
    <row r="109" spans="1:21" x14ac:dyDescent="0.3">
      <c r="A109" s="7" t="s">
        <v>628</v>
      </c>
      <c r="B109" s="7" t="s">
        <v>536</v>
      </c>
      <c r="C109" s="7" t="s">
        <v>160</v>
      </c>
      <c r="D109" s="7" t="s">
        <v>161</v>
      </c>
      <c r="E109" s="7">
        <v>2019</v>
      </c>
      <c r="F109" s="32">
        <v>13</v>
      </c>
      <c r="G109" s="32" t="s">
        <v>548</v>
      </c>
      <c r="H109" s="32" t="s">
        <v>626</v>
      </c>
      <c r="I109" s="32" t="s">
        <v>14</v>
      </c>
      <c r="J109" s="32" t="s">
        <v>14</v>
      </c>
      <c r="K109" s="33">
        <v>43565</v>
      </c>
      <c r="L109" s="33"/>
      <c r="M109" s="32" t="s">
        <v>273</v>
      </c>
      <c r="N109" s="7"/>
      <c r="O109" s="18" t="s">
        <v>627</v>
      </c>
      <c r="P109" s="7"/>
      <c r="Q109" s="24"/>
      <c r="R109" s="25"/>
      <c r="S109" s="7"/>
      <c r="T109" s="7" t="s">
        <v>603</v>
      </c>
      <c r="U109" s="7" t="s">
        <v>603</v>
      </c>
    </row>
    <row r="110" spans="1:21" x14ac:dyDescent="0.3">
      <c r="A110" s="7" t="s">
        <v>529</v>
      </c>
      <c r="B110" s="7" t="s">
        <v>629</v>
      </c>
      <c r="C110" s="7" t="s">
        <v>252</v>
      </c>
      <c r="D110" s="7" t="s">
        <v>344</v>
      </c>
      <c r="E110" s="7">
        <v>2019</v>
      </c>
      <c r="F110" s="32">
        <v>19</v>
      </c>
      <c r="G110" s="32" t="s">
        <v>14</v>
      </c>
      <c r="H110" s="32">
        <v>329</v>
      </c>
      <c r="I110" s="32" t="s">
        <v>14</v>
      </c>
      <c r="J110" s="32" t="s">
        <v>14</v>
      </c>
      <c r="K110" s="33">
        <v>43573</v>
      </c>
      <c r="L110" s="33"/>
      <c r="M110" s="32" t="s">
        <v>273</v>
      </c>
      <c r="N110" s="7"/>
      <c r="O110" s="18" t="s">
        <v>616</v>
      </c>
      <c r="P110" s="7"/>
      <c r="Q110" s="24"/>
      <c r="R110" s="25"/>
      <c r="S110" s="7"/>
      <c r="T110" s="7" t="s">
        <v>603</v>
      </c>
      <c r="U110" s="7" t="s">
        <v>603</v>
      </c>
    </row>
    <row r="111" spans="1:21" x14ac:dyDescent="0.3">
      <c r="A111" s="7" t="s">
        <v>613</v>
      </c>
      <c r="B111" s="7" t="s">
        <v>614</v>
      </c>
      <c r="C111" s="7" t="s">
        <v>26</v>
      </c>
      <c r="D111" s="7" t="s">
        <v>29</v>
      </c>
      <c r="E111" s="7">
        <v>2019</v>
      </c>
      <c r="F111" s="32">
        <v>12</v>
      </c>
      <c r="G111" s="32" t="s">
        <v>14</v>
      </c>
      <c r="H111" s="32">
        <v>175</v>
      </c>
      <c r="I111" s="32" t="s">
        <v>14</v>
      </c>
      <c r="J111" s="32" t="s">
        <v>14</v>
      </c>
      <c r="K111" s="33">
        <v>43573</v>
      </c>
      <c r="L111" s="33"/>
      <c r="M111" s="32" t="s">
        <v>273</v>
      </c>
      <c r="N111" s="7"/>
      <c r="O111" s="18" t="s">
        <v>625</v>
      </c>
      <c r="P111" s="7"/>
      <c r="Q111" s="24"/>
      <c r="R111" s="25"/>
      <c r="S111" s="7"/>
      <c r="T111" s="7" t="s">
        <v>603</v>
      </c>
      <c r="U111" s="7" t="s">
        <v>603</v>
      </c>
    </row>
    <row r="112" spans="1:21" x14ac:dyDescent="0.3">
      <c r="A112" s="7" t="s">
        <v>467</v>
      </c>
      <c r="B112" s="7" t="s">
        <v>468</v>
      </c>
      <c r="C112" s="7" t="s">
        <v>469</v>
      </c>
      <c r="D112" s="7" t="s">
        <v>470</v>
      </c>
      <c r="E112" s="7">
        <v>2019</v>
      </c>
      <c r="F112" s="32">
        <v>29</v>
      </c>
      <c r="G112" s="32" t="s">
        <v>91</v>
      </c>
      <c r="H112" s="32" t="s">
        <v>634</v>
      </c>
      <c r="I112" s="32" t="s">
        <v>14</v>
      </c>
      <c r="J112" s="32" t="s">
        <v>14</v>
      </c>
      <c r="K112" s="33">
        <v>43586</v>
      </c>
      <c r="L112" s="33"/>
      <c r="M112" s="32" t="s">
        <v>273</v>
      </c>
      <c r="N112" s="7"/>
      <c r="O112" s="18" t="s">
        <v>605</v>
      </c>
      <c r="P112" s="7"/>
      <c r="Q112" s="24"/>
      <c r="R112" s="25"/>
      <c r="S112" s="7"/>
      <c r="T112" s="7" t="s">
        <v>603</v>
      </c>
      <c r="U112" s="7" t="s">
        <v>603</v>
      </c>
    </row>
    <row r="113" spans="1:21" x14ac:dyDescent="0.3">
      <c r="A113" s="7" t="s">
        <v>515</v>
      </c>
      <c r="B113" s="7" t="s">
        <v>516</v>
      </c>
      <c r="C113" s="7" t="s">
        <v>511</v>
      </c>
      <c r="D113" s="7" t="s">
        <v>512</v>
      </c>
      <c r="E113" s="7">
        <v>2019</v>
      </c>
      <c r="F113" s="32">
        <v>172</v>
      </c>
      <c r="G113" s="32" t="s">
        <v>14</v>
      </c>
      <c r="H113" s="32" t="s">
        <v>14</v>
      </c>
      <c r="I113" s="32">
        <v>420</v>
      </c>
      <c r="J113" s="32">
        <v>429</v>
      </c>
      <c r="K113" s="33">
        <v>43586</v>
      </c>
      <c r="L113" s="33"/>
      <c r="M113" s="32" t="s">
        <v>273</v>
      </c>
      <c r="N113" s="7"/>
      <c r="O113" s="18" t="s">
        <v>612</v>
      </c>
      <c r="P113" s="7"/>
      <c r="Q113" s="24"/>
      <c r="R113" s="25"/>
      <c r="S113" s="7"/>
      <c r="T113" s="7" t="s">
        <v>603</v>
      </c>
      <c r="U113" s="7" t="s">
        <v>603</v>
      </c>
    </row>
    <row r="114" spans="1:21" x14ac:dyDescent="0.3">
      <c r="A114" s="7" t="s">
        <v>640</v>
      </c>
      <c r="B114" s="7" t="s">
        <v>644</v>
      </c>
      <c r="C114" s="7" t="s">
        <v>641</v>
      </c>
      <c r="D114" s="7" t="s">
        <v>642</v>
      </c>
      <c r="E114" s="18">
        <v>2019</v>
      </c>
      <c r="F114" s="32">
        <v>81</v>
      </c>
      <c r="G114" s="38" t="s">
        <v>92</v>
      </c>
      <c r="H114" s="32" t="s">
        <v>14</v>
      </c>
      <c r="I114" s="32">
        <v>444</v>
      </c>
      <c r="J114" s="32">
        <v>447</v>
      </c>
      <c r="K114" s="36">
        <v>43586</v>
      </c>
      <c r="L114" s="36"/>
      <c r="M114" s="36" t="s">
        <v>274</v>
      </c>
      <c r="N114" s="11"/>
      <c r="O114" s="19" t="s">
        <v>643</v>
      </c>
      <c r="P114" s="7"/>
      <c r="Q114" s="24"/>
      <c r="R114" s="25"/>
      <c r="S114" s="7"/>
      <c r="T114" s="7" t="s">
        <v>603</v>
      </c>
      <c r="U114" s="7" t="s">
        <v>603</v>
      </c>
    </row>
    <row r="115" spans="1:21" x14ac:dyDescent="0.3">
      <c r="A115" s="7" t="s">
        <v>622</v>
      </c>
      <c r="B115" s="7" t="s">
        <v>528</v>
      </c>
      <c r="C115" s="7" t="s">
        <v>160</v>
      </c>
      <c r="D115" s="7" t="s">
        <v>161</v>
      </c>
      <c r="E115" s="7">
        <v>2019</v>
      </c>
      <c r="F115" s="32">
        <v>13</v>
      </c>
      <c r="G115" s="32" t="s">
        <v>92</v>
      </c>
      <c r="H115" s="32" t="s">
        <v>637</v>
      </c>
      <c r="I115" s="32" t="s">
        <v>14</v>
      </c>
      <c r="J115" s="32" t="s">
        <v>14</v>
      </c>
      <c r="K115" s="33">
        <v>43605</v>
      </c>
      <c r="L115" s="33"/>
      <c r="M115" s="32" t="s">
        <v>273</v>
      </c>
      <c r="N115" s="7"/>
      <c r="O115" s="18" t="s">
        <v>639</v>
      </c>
      <c r="P115" s="7"/>
      <c r="Q115" s="24"/>
      <c r="R115" s="25"/>
      <c r="S115" s="7"/>
      <c r="T115" s="7" t="s">
        <v>603</v>
      </c>
      <c r="U115" s="7" t="s">
        <v>603</v>
      </c>
    </row>
    <row r="116" spans="1:21" x14ac:dyDescent="0.3">
      <c r="A116" s="7" t="s">
        <v>595</v>
      </c>
      <c r="B116" s="7" t="s">
        <v>567</v>
      </c>
      <c r="C116" s="7" t="s">
        <v>89</v>
      </c>
      <c r="D116" s="7" t="s">
        <v>89</v>
      </c>
      <c r="E116" s="7">
        <v>2019</v>
      </c>
      <c r="F116" s="32">
        <v>19</v>
      </c>
      <c r="G116" s="32" t="s">
        <v>14</v>
      </c>
      <c r="H116" s="32">
        <v>662</v>
      </c>
      <c r="I116" s="32" t="s">
        <v>14</v>
      </c>
      <c r="J116" s="32" t="s">
        <v>14</v>
      </c>
      <c r="K116" s="33">
        <v>43615</v>
      </c>
      <c r="L116" s="33"/>
      <c r="M116" s="32" t="s">
        <v>273</v>
      </c>
      <c r="N116" s="7"/>
      <c r="O116" s="18" t="s">
        <v>638</v>
      </c>
      <c r="P116" s="7"/>
      <c r="Q116" s="24"/>
      <c r="R116" s="25"/>
      <c r="S116" s="7"/>
      <c r="T116" s="7" t="s">
        <v>603</v>
      </c>
      <c r="U116" s="7" t="s">
        <v>603</v>
      </c>
    </row>
    <row r="117" spans="1:21" x14ac:dyDescent="0.3">
      <c r="A117" s="7" t="s">
        <v>385</v>
      </c>
      <c r="B117" s="7" t="s">
        <v>386</v>
      </c>
      <c r="C117" s="7" t="s">
        <v>406</v>
      </c>
      <c r="D117" s="7" t="s">
        <v>407</v>
      </c>
      <c r="E117" s="7">
        <v>2019</v>
      </c>
      <c r="F117" s="32">
        <v>59</v>
      </c>
      <c r="G117" s="32" t="s">
        <v>153</v>
      </c>
      <c r="H117" s="32" t="s">
        <v>14</v>
      </c>
      <c r="I117" s="32">
        <v>1071</v>
      </c>
      <c r="J117" s="32">
        <v>1090</v>
      </c>
      <c r="K117" s="33">
        <v>43617</v>
      </c>
      <c r="L117" s="33"/>
      <c r="M117" s="32" t="s">
        <v>273</v>
      </c>
      <c r="N117" s="7"/>
      <c r="O117" s="18" t="s">
        <v>434</v>
      </c>
      <c r="P117" s="7"/>
      <c r="Q117" s="24"/>
      <c r="R117" s="25"/>
      <c r="S117" s="7"/>
      <c r="T117" s="7" t="s">
        <v>603</v>
      </c>
      <c r="U117" s="7" t="s">
        <v>603</v>
      </c>
    </row>
    <row r="118" spans="1:21" x14ac:dyDescent="0.3">
      <c r="A118" s="7" t="s">
        <v>606</v>
      </c>
      <c r="B118" s="7" t="s">
        <v>607</v>
      </c>
      <c r="C118" s="7" t="s">
        <v>144</v>
      </c>
      <c r="D118" s="7" t="s">
        <v>144</v>
      </c>
      <c r="E118" s="7">
        <v>2019</v>
      </c>
      <c r="F118" s="32">
        <v>14</v>
      </c>
      <c r="G118" s="32" t="s">
        <v>111</v>
      </c>
      <c r="H118" s="32" t="s">
        <v>636</v>
      </c>
      <c r="I118" s="32" t="s">
        <v>14</v>
      </c>
      <c r="J118" s="32" t="s">
        <v>14</v>
      </c>
      <c r="K118" s="33">
        <v>43623</v>
      </c>
      <c r="L118" s="33"/>
      <c r="M118" s="32" t="s">
        <v>273</v>
      </c>
      <c r="N118" s="7"/>
      <c r="O118" s="18" t="s">
        <v>635</v>
      </c>
      <c r="P118" s="7"/>
      <c r="Q118" s="24"/>
      <c r="R118" s="25"/>
      <c r="S118" s="7"/>
      <c r="T118" s="7" t="s">
        <v>603</v>
      </c>
      <c r="U118" s="7" t="s">
        <v>603</v>
      </c>
    </row>
    <row r="119" spans="1:21" x14ac:dyDescent="0.3">
      <c r="A119" s="7" t="s">
        <v>623</v>
      </c>
      <c r="B119" s="7" t="s">
        <v>624</v>
      </c>
      <c r="C119" s="7" t="s">
        <v>26</v>
      </c>
      <c r="D119" s="7" t="s">
        <v>29</v>
      </c>
      <c r="E119" s="7">
        <v>2019</v>
      </c>
      <c r="F119" s="32">
        <v>12</v>
      </c>
      <c r="G119" s="32" t="s">
        <v>14</v>
      </c>
      <c r="H119" s="32">
        <v>324</v>
      </c>
      <c r="I119" s="32" t="s">
        <v>14</v>
      </c>
      <c r="J119" s="32" t="s">
        <v>14</v>
      </c>
      <c r="K119" s="33">
        <v>43643</v>
      </c>
      <c r="L119" s="33"/>
      <c r="M119" s="32" t="s">
        <v>273</v>
      </c>
      <c r="N119" s="7"/>
      <c r="O119" s="18" t="s">
        <v>646</v>
      </c>
      <c r="P119" s="7"/>
      <c r="Q119" s="24"/>
      <c r="R119" s="25"/>
      <c r="S119" s="7"/>
      <c r="T119" s="7" t="s">
        <v>603</v>
      </c>
      <c r="U119" s="7" t="s">
        <v>603</v>
      </c>
    </row>
    <row r="120" spans="1:21" x14ac:dyDescent="0.3">
      <c r="A120" s="7" t="s">
        <v>513</v>
      </c>
      <c r="B120" s="7" t="s">
        <v>514</v>
      </c>
      <c r="C120" s="7" t="s">
        <v>511</v>
      </c>
      <c r="D120" s="7" t="s">
        <v>512</v>
      </c>
      <c r="E120" s="7">
        <v>2019</v>
      </c>
      <c r="F120" s="32">
        <v>174</v>
      </c>
      <c r="G120" s="32" t="s">
        <v>14</v>
      </c>
      <c r="H120" s="32" t="s">
        <v>14</v>
      </c>
      <c r="I120" s="32">
        <v>188</v>
      </c>
      <c r="J120" s="32">
        <v>194</v>
      </c>
      <c r="K120" s="33">
        <v>43647</v>
      </c>
      <c r="L120" s="33"/>
      <c r="M120" s="32" t="s">
        <v>273</v>
      </c>
      <c r="N120" s="7"/>
      <c r="O120" s="18" t="s">
        <v>584</v>
      </c>
      <c r="P120" s="7"/>
      <c r="Q120" s="24"/>
      <c r="R120" s="25"/>
      <c r="S120" s="7"/>
      <c r="T120" s="7" t="s">
        <v>603</v>
      </c>
      <c r="U120" s="7" t="s">
        <v>603</v>
      </c>
    </row>
    <row r="121" spans="1:21" x14ac:dyDescent="0.3">
      <c r="A121" s="7" t="s">
        <v>558</v>
      </c>
      <c r="B121" s="7" t="s">
        <v>559</v>
      </c>
      <c r="C121" s="7" t="s">
        <v>509</v>
      </c>
      <c r="D121" s="7" t="s">
        <v>510</v>
      </c>
      <c r="E121" s="7">
        <v>2019</v>
      </c>
      <c r="F121" s="32">
        <v>147</v>
      </c>
      <c r="G121" s="32" t="s">
        <v>14</v>
      </c>
      <c r="H121" s="32" t="s">
        <v>652</v>
      </c>
      <c r="I121" s="32" t="s">
        <v>14</v>
      </c>
      <c r="J121" s="32" t="s">
        <v>14</v>
      </c>
      <c r="K121" s="33">
        <v>43654</v>
      </c>
      <c r="L121" s="33"/>
      <c r="M121" s="32" t="s">
        <v>273</v>
      </c>
      <c r="N121" s="7"/>
      <c r="O121" s="18" t="s">
        <v>654</v>
      </c>
      <c r="P121" s="7"/>
      <c r="Q121" s="24"/>
      <c r="R121" s="25"/>
      <c r="S121" s="7"/>
      <c r="T121" s="7" t="s">
        <v>603</v>
      </c>
      <c r="U121" s="7" t="s">
        <v>603</v>
      </c>
    </row>
    <row r="122" spans="1:21" x14ac:dyDescent="0.3">
      <c r="A122" s="7" t="s">
        <v>586</v>
      </c>
      <c r="B122" s="7" t="s">
        <v>587</v>
      </c>
      <c r="C122" s="7" t="s">
        <v>509</v>
      </c>
      <c r="D122" s="7" t="s">
        <v>510</v>
      </c>
      <c r="E122" s="7">
        <v>2019</v>
      </c>
      <c r="F122" s="32">
        <v>147</v>
      </c>
      <c r="G122" s="32" t="s">
        <v>14</v>
      </c>
      <c r="H122" s="32" t="s">
        <v>653</v>
      </c>
      <c r="I122" s="32" t="s">
        <v>14</v>
      </c>
      <c r="J122" s="32" t="s">
        <v>14</v>
      </c>
      <c r="K122" s="33">
        <v>43654</v>
      </c>
      <c r="L122" s="33"/>
      <c r="M122" s="32" t="s">
        <v>273</v>
      </c>
      <c r="N122" s="7"/>
      <c r="O122" s="18" t="s">
        <v>655</v>
      </c>
      <c r="P122" s="7"/>
      <c r="Q122" s="24"/>
      <c r="R122" s="25"/>
      <c r="S122" s="7"/>
      <c r="T122" s="7" t="s">
        <v>603</v>
      </c>
      <c r="U122" s="7" t="s">
        <v>603</v>
      </c>
    </row>
    <row r="123" spans="1:21" x14ac:dyDescent="0.3">
      <c r="A123" s="7" t="s">
        <v>540</v>
      </c>
      <c r="B123" s="7" t="s">
        <v>541</v>
      </c>
      <c r="C123" s="7" t="s">
        <v>575</v>
      </c>
      <c r="D123" s="7" t="s">
        <v>576</v>
      </c>
      <c r="E123" s="7">
        <v>2019</v>
      </c>
      <c r="F123" s="32">
        <v>34</v>
      </c>
      <c r="G123" s="32" t="s">
        <v>63</v>
      </c>
      <c r="H123" s="32" t="s">
        <v>14</v>
      </c>
      <c r="I123" s="32">
        <v>765</v>
      </c>
      <c r="J123" s="32">
        <v>775</v>
      </c>
      <c r="K123" s="33">
        <v>43678</v>
      </c>
      <c r="L123" s="33"/>
      <c r="M123" s="32" t="s">
        <v>273</v>
      </c>
      <c r="N123" s="7"/>
      <c r="O123" s="18" t="s">
        <v>630</v>
      </c>
      <c r="P123" s="7"/>
      <c r="Q123" s="24"/>
      <c r="R123" s="25"/>
      <c r="S123" s="7"/>
      <c r="T123" s="7" t="s">
        <v>603</v>
      </c>
      <c r="U123" s="7" t="s">
        <v>603</v>
      </c>
    </row>
    <row r="124" spans="1:21" x14ac:dyDescent="0.3">
      <c r="A124" s="7" t="s">
        <v>526</v>
      </c>
      <c r="B124" s="7" t="s">
        <v>656</v>
      </c>
      <c r="C124" s="7" t="s">
        <v>81</v>
      </c>
      <c r="D124" s="7" t="s">
        <v>82</v>
      </c>
      <c r="E124" s="18">
        <v>2019</v>
      </c>
      <c r="F124" s="32">
        <v>19</v>
      </c>
      <c r="G124" s="38" t="s">
        <v>63</v>
      </c>
      <c r="H124" s="32" t="s">
        <v>14</v>
      </c>
      <c r="I124" s="32">
        <v>892</v>
      </c>
      <c r="J124" s="32">
        <v>902</v>
      </c>
      <c r="K124" s="10">
        <v>43678</v>
      </c>
      <c r="L124" s="10"/>
      <c r="M124" s="36" t="s">
        <v>273</v>
      </c>
      <c r="N124" s="11"/>
      <c r="O124" s="19" t="s">
        <v>648</v>
      </c>
      <c r="P124" s="7"/>
      <c r="Q124" s="24"/>
      <c r="R124" s="25"/>
      <c r="S124" s="7"/>
      <c r="T124" s="7" t="s">
        <v>603</v>
      </c>
      <c r="U124" s="7" t="s">
        <v>603</v>
      </c>
    </row>
    <row r="125" spans="1:21" x14ac:dyDescent="0.3">
      <c r="A125" s="7" t="s">
        <v>544</v>
      </c>
      <c r="B125" s="7" t="s">
        <v>545</v>
      </c>
      <c r="C125" s="7" t="s">
        <v>546</v>
      </c>
      <c r="D125" s="7" t="s">
        <v>550</v>
      </c>
      <c r="E125" s="18">
        <v>2019</v>
      </c>
      <c r="F125" s="32">
        <v>14</v>
      </c>
      <c r="G125" s="38" t="s">
        <v>14</v>
      </c>
      <c r="H125" s="32">
        <v>79</v>
      </c>
      <c r="I125" s="32" t="s">
        <v>14</v>
      </c>
      <c r="J125" s="32" t="s">
        <v>14</v>
      </c>
      <c r="K125" s="10">
        <v>43690</v>
      </c>
      <c r="L125" s="10"/>
      <c r="M125" s="36" t="s">
        <v>273</v>
      </c>
      <c r="N125" s="11"/>
      <c r="O125" s="19" t="s">
        <v>657</v>
      </c>
      <c r="P125" s="7"/>
      <c r="Q125" s="24"/>
      <c r="R125" s="25"/>
      <c r="S125" s="7"/>
      <c r="T125" s="7" t="s">
        <v>603</v>
      </c>
      <c r="U125" s="7" t="s">
        <v>603</v>
      </c>
    </row>
    <row r="126" spans="1:21" x14ac:dyDescent="0.3">
      <c r="A126" s="7" t="s">
        <v>732</v>
      </c>
      <c r="B126" s="7" t="s">
        <v>497</v>
      </c>
      <c r="C126" s="7" t="s">
        <v>733</v>
      </c>
      <c r="D126" s="7" t="s">
        <v>733</v>
      </c>
      <c r="E126" s="18">
        <v>2019</v>
      </c>
      <c r="F126" s="18">
        <v>3</v>
      </c>
      <c r="G126" s="19" t="s">
        <v>14</v>
      </c>
      <c r="H126" s="18">
        <v>2</v>
      </c>
      <c r="I126" s="18" t="s">
        <v>14</v>
      </c>
      <c r="J126" s="18" t="s">
        <v>14</v>
      </c>
      <c r="K126" s="42">
        <v>43709</v>
      </c>
      <c r="L126" s="42"/>
      <c r="M126" s="42" t="s">
        <v>274</v>
      </c>
      <c r="N126" s="11"/>
      <c r="O126" s="19"/>
      <c r="P126" s="7"/>
      <c r="Q126" s="23"/>
      <c r="R126" s="7"/>
      <c r="S126" s="7"/>
      <c r="T126" s="7"/>
      <c r="U126" s="7"/>
    </row>
    <row r="127" spans="1:21" x14ac:dyDescent="0.3">
      <c r="A127" s="7" t="s">
        <v>661</v>
      </c>
      <c r="B127" s="7" t="s">
        <v>662</v>
      </c>
      <c r="C127" s="7" t="s">
        <v>663</v>
      </c>
      <c r="D127" s="7" t="s">
        <v>664</v>
      </c>
      <c r="E127" s="18">
        <v>2019</v>
      </c>
      <c r="F127" s="18">
        <v>3</v>
      </c>
      <c r="G127" s="19" t="s">
        <v>14</v>
      </c>
      <c r="H127" s="18">
        <v>1546</v>
      </c>
      <c r="I127" s="18" t="s">
        <v>14</v>
      </c>
      <c r="J127" s="18" t="s">
        <v>14</v>
      </c>
      <c r="K127" s="10">
        <v>43734</v>
      </c>
      <c r="L127" s="10"/>
      <c r="M127" s="10" t="s">
        <v>274</v>
      </c>
      <c r="N127" s="11"/>
      <c r="O127" s="19" t="s">
        <v>665</v>
      </c>
      <c r="P127" s="7"/>
      <c r="Q127" s="24"/>
      <c r="R127" s="25"/>
      <c r="S127" s="7"/>
      <c r="T127" s="7" t="s">
        <v>603</v>
      </c>
      <c r="U127" s="7" t="s">
        <v>603</v>
      </c>
    </row>
    <row r="128" spans="1:21" x14ac:dyDescent="0.3">
      <c r="A128" s="7" t="s">
        <v>679</v>
      </c>
      <c r="B128" s="7" t="s">
        <v>591</v>
      </c>
      <c r="C128" s="7" t="s">
        <v>592</v>
      </c>
      <c r="D128" s="7" t="s">
        <v>593</v>
      </c>
      <c r="E128" s="18">
        <v>2019</v>
      </c>
      <c r="F128" s="32">
        <v>149</v>
      </c>
      <c r="G128" s="38" t="s">
        <v>99</v>
      </c>
      <c r="H128" s="32" t="s">
        <v>14</v>
      </c>
      <c r="I128" s="32">
        <v>1852</v>
      </c>
      <c r="J128" s="32">
        <v>1862</v>
      </c>
      <c r="K128" s="36">
        <v>43739</v>
      </c>
      <c r="L128" s="36"/>
      <c r="M128" s="36" t="s">
        <v>273</v>
      </c>
      <c r="N128" s="11"/>
      <c r="O128" s="19" t="s">
        <v>645</v>
      </c>
      <c r="P128" s="7"/>
      <c r="Q128" s="24"/>
      <c r="R128" s="25"/>
      <c r="S128" s="7"/>
      <c r="T128" s="7" t="s">
        <v>603</v>
      </c>
      <c r="U128" s="7" t="s">
        <v>603</v>
      </c>
    </row>
    <row r="129" spans="1:21" x14ac:dyDescent="0.3">
      <c r="A129" s="7" t="s">
        <v>580</v>
      </c>
      <c r="B129" s="7" t="s">
        <v>581</v>
      </c>
      <c r="C129" s="7" t="s">
        <v>658</v>
      </c>
      <c r="D129" s="7" t="s">
        <v>659</v>
      </c>
      <c r="E129" s="18">
        <v>2019</v>
      </c>
      <c r="F129" s="18">
        <v>28</v>
      </c>
      <c r="G129" s="19" t="s">
        <v>65</v>
      </c>
      <c r="H129" s="18" t="s">
        <v>14</v>
      </c>
      <c r="I129" s="18">
        <v>3153</v>
      </c>
      <c r="J129" s="18">
        <v>3161</v>
      </c>
      <c r="K129" s="10">
        <v>43800</v>
      </c>
      <c r="L129" s="10"/>
      <c r="M129" s="10" t="s">
        <v>273</v>
      </c>
      <c r="N129" s="11"/>
      <c r="O129" s="19" t="s">
        <v>660</v>
      </c>
      <c r="P129" s="7"/>
      <c r="Q129" s="24"/>
      <c r="R129" s="25"/>
      <c r="S129" s="7"/>
      <c r="T129" s="7" t="s">
        <v>603</v>
      </c>
      <c r="U129" s="7" t="s">
        <v>603</v>
      </c>
    </row>
    <row r="130" spans="1:21" x14ac:dyDescent="0.3">
      <c r="A130" s="7" t="s">
        <v>736</v>
      </c>
      <c r="B130" s="7" t="s">
        <v>737</v>
      </c>
      <c r="C130" s="7" t="s">
        <v>734</v>
      </c>
      <c r="D130" s="7" t="s">
        <v>735</v>
      </c>
      <c r="E130" s="18">
        <v>2019</v>
      </c>
      <c r="F130" s="18">
        <v>4</v>
      </c>
      <c r="G130" s="19" t="s">
        <v>14</v>
      </c>
      <c r="H130" s="18" t="s">
        <v>14</v>
      </c>
      <c r="I130" s="18">
        <v>205</v>
      </c>
      <c r="J130" s="18">
        <v>2015</v>
      </c>
      <c r="K130" s="42">
        <v>43800</v>
      </c>
      <c r="L130" s="42"/>
      <c r="M130" s="42" t="s">
        <v>274</v>
      </c>
      <c r="N130" s="11"/>
      <c r="O130" s="19"/>
      <c r="P130" s="7"/>
      <c r="Q130" s="23"/>
      <c r="R130" s="7"/>
      <c r="S130" s="7"/>
      <c r="T130" s="7"/>
      <c r="U130" s="7"/>
    </row>
    <row r="131" spans="1:21" x14ac:dyDescent="0.3">
      <c r="A131" s="7" t="s">
        <v>677</v>
      </c>
      <c r="B131" s="7" t="s">
        <v>678</v>
      </c>
      <c r="C131" s="7" t="s">
        <v>287</v>
      </c>
      <c r="D131" s="7" t="s">
        <v>330</v>
      </c>
      <c r="E131" s="18">
        <v>2020</v>
      </c>
      <c r="F131" s="32">
        <v>30</v>
      </c>
      <c r="G131" s="38" t="s">
        <v>101</v>
      </c>
      <c r="H131" s="32" t="s">
        <v>14</v>
      </c>
      <c r="I131" s="32">
        <v>2</v>
      </c>
      <c r="J131" s="32">
        <v>3</v>
      </c>
      <c r="K131" s="36">
        <v>43854</v>
      </c>
      <c r="L131" s="36"/>
      <c r="M131" s="36" t="s">
        <v>273</v>
      </c>
      <c r="N131" s="11"/>
      <c r="O131" s="19" t="s">
        <v>676</v>
      </c>
      <c r="P131" s="7"/>
      <c r="Q131" s="24"/>
      <c r="R131" s="25"/>
      <c r="S131" s="7"/>
      <c r="T131" s="7" t="s">
        <v>603</v>
      </c>
      <c r="U131" s="7" t="s">
        <v>603</v>
      </c>
    </row>
    <row r="132" spans="1:21" x14ac:dyDescent="0.3">
      <c r="A132" s="7" t="s">
        <v>670</v>
      </c>
      <c r="B132" s="7" t="s">
        <v>649</v>
      </c>
      <c r="C132" s="7" t="s">
        <v>12</v>
      </c>
      <c r="D132" s="7" t="s">
        <v>13</v>
      </c>
      <c r="E132" s="18">
        <v>2020</v>
      </c>
      <c r="F132" s="18">
        <v>65</v>
      </c>
      <c r="G132" s="19" t="s">
        <v>14</v>
      </c>
      <c r="H132" s="18" t="s">
        <v>14</v>
      </c>
      <c r="I132" s="18">
        <v>129</v>
      </c>
      <c r="J132" s="18">
        <v>138</v>
      </c>
      <c r="K132" s="10">
        <v>43891</v>
      </c>
      <c r="L132" s="10"/>
      <c r="M132" s="10" t="s">
        <v>273</v>
      </c>
      <c r="N132" s="11"/>
      <c r="O132" s="19" t="s">
        <v>671</v>
      </c>
      <c r="P132" s="7"/>
      <c r="Q132" s="24"/>
      <c r="R132" s="25"/>
      <c r="S132" s="7"/>
      <c r="T132" s="7" t="s">
        <v>603</v>
      </c>
      <c r="U132" s="7" t="s">
        <v>603</v>
      </c>
    </row>
    <row r="133" spans="1:21" x14ac:dyDescent="0.3">
      <c r="A133" s="7" t="s">
        <v>686</v>
      </c>
      <c r="B133" s="7" t="s">
        <v>675</v>
      </c>
      <c r="C133" s="7" t="s">
        <v>83</v>
      </c>
      <c r="D133" s="7" t="s">
        <v>84</v>
      </c>
      <c r="E133" s="18">
        <v>2020</v>
      </c>
      <c r="F133" s="18">
        <v>98</v>
      </c>
      <c r="G133" s="19" t="s">
        <v>14</v>
      </c>
      <c r="H133" s="18" t="s">
        <v>14</v>
      </c>
      <c r="I133" s="18">
        <v>198</v>
      </c>
      <c r="J133" s="18">
        <v>205</v>
      </c>
      <c r="K133" s="10">
        <v>43891</v>
      </c>
      <c r="L133" s="10"/>
      <c r="M133" s="10" t="s">
        <v>273</v>
      </c>
      <c r="N133" s="11"/>
      <c r="O133" s="19" t="s">
        <v>691</v>
      </c>
      <c r="P133" s="7"/>
      <c r="Q133" s="24"/>
      <c r="R133" s="25"/>
      <c r="S133" s="7"/>
      <c r="T133" s="7" t="s">
        <v>603</v>
      </c>
      <c r="U133" s="7" t="s">
        <v>603</v>
      </c>
    </row>
    <row r="134" spans="1:21" x14ac:dyDescent="0.3">
      <c r="A134" s="7" t="s">
        <v>666</v>
      </c>
      <c r="B134" s="7" t="s">
        <v>667</v>
      </c>
      <c r="C134" s="7" t="s">
        <v>672</v>
      </c>
      <c r="D134" s="7" t="s">
        <v>672</v>
      </c>
      <c r="E134" s="18">
        <v>2020</v>
      </c>
      <c r="F134" s="32">
        <v>63</v>
      </c>
      <c r="G134" s="38" t="s">
        <v>92</v>
      </c>
      <c r="H134" s="32" t="s">
        <v>14</v>
      </c>
      <c r="I134" s="32">
        <v>500</v>
      </c>
      <c r="J134" s="32">
        <v>508</v>
      </c>
      <c r="K134" s="36">
        <v>43952</v>
      </c>
      <c r="L134" s="36"/>
      <c r="M134" s="36" t="s">
        <v>273</v>
      </c>
      <c r="N134" s="11"/>
      <c r="O134" s="19" t="s">
        <v>687</v>
      </c>
      <c r="P134" s="7"/>
      <c r="Q134" s="24"/>
      <c r="R134" s="25"/>
      <c r="S134" s="7"/>
      <c r="T134" s="7" t="s">
        <v>603</v>
      </c>
      <c r="U134" s="7" t="s">
        <v>603</v>
      </c>
    </row>
    <row r="135" spans="1:21" x14ac:dyDescent="0.3">
      <c r="A135" s="7" t="s">
        <v>688</v>
      </c>
      <c r="B135" s="7" t="s">
        <v>689</v>
      </c>
      <c r="C135" s="7" t="s">
        <v>55</v>
      </c>
      <c r="D135" s="7" t="s">
        <v>56</v>
      </c>
      <c r="E135" s="18">
        <v>2020</v>
      </c>
      <c r="F135" s="32">
        <v>25</v>
      </c>
      <c r="G135" s="38" t="s">
        <v>92</v>
      </c>
      <c r="H135" s="32" t="s">
        <v>14</v>
      </c>
      <c r="I135" s="32">
        <v>566</v>
      </c>
      <c r="J135" s="32">
        <v>578</v>
      </c>
      <c r="K135" s="10">
        <v>43952</v>
      </c>
      <c r="L135" s="10"/>
      <c r="M135" s="36" t="s">
        <v>273</v>
      </c>
      <c r="N135" s="11"/>
      <c r="O135" s="19" t="s">
        <v>690</v>
      </c>
      <c r="P135" s="7"/>
      <c r="Q135" s="24"/>
      <c r="R135" s="25"/>
      <c r="S135" s="7"/>
      <c r="T135" s="7"/>
      <c r="U135" s="7" t="s">
        <v>603</v>
      </c>
    </row>
    <row r="136" spans="1:21" x14ac:dyDescent="0.3">
      <c r="A136" s="7" t="s">
        <v>631</v>
      </c>
      <c r="B136" s="7" t="s">
        <v>632</v>
      </c>
      <c r="C136" s="7" t="s">
        <v>668</v>
      </c>
      <c r="D136" s="7" t="s">
        <v>669</v>
      </c>
      <c r="E136" s="18">
        <v>2020</v>
      </c>
      <c r="F136" s="32">
        <v>20</v>
      </c>
      <c r="G136" s="38" t="s">
        <v>14</v>
      </c>
      <c r="H136" s="32">
        <v>100</v>
      </c>
      <c r="I136" s="32" t="s">
        <v>14</v>
      </c>
      <c r="J136" s="32" t="s">
        <v>14</v>
      </c>
      <c r="K136" s="10">
        <v>43957</v>
      </c>
      <c r="L136" s="10"/>
      <c r="M136" s="36" t="s">
        <v>273</v>
      </c>
      <c r="N136" s="11"/>
      <c r="O136" s="19" t="s">
        <v>696</v>
      </c>
      <c r="P136" s="7"/>
      <c r="Q136" s="24"/>
      <c r="R136" s="25"/>
      <c r="S136" s="7"/>
      <c r="T136" s="7" t="s">
        <v>603</v>
      </c>
      <c r="U136" s="7" t="s">
        <v>603</v>
      </c>
    </row>
    <row r="137" spans="1:21" x14ac:dyDescent="0.3">
      <c r="A137" s="7" t="s">
        <v>682</v>
      </c>
      <c r="B137" s="7" t="s">
        <v>683</v>
      </c>
      <c r="C137" s="7" t="s">
        <v>26</v>
      </c>
      <c r="D137" s="7" t="s">
        <v>29</v>
      </c>
      <c r="E137" s="18">
        <v>2020</v>
      </c>
      <c r="F137" s="32">
        <v>13</v>
      </c>
      <c r="G137" s="38" t="s">
        <v>14</v>
      </c>
      <c r="H137" s="32">
        <v>234</v>
      </c>
      <c r="I137" s="32" t="s">
        <v>14</v>
      </c>
      <c r="J137" s="32" t="s">
        <v>14</v>
      </c>
      <c r="K137" s="36">
        <v>43958</v>
      </c>
      <c r="L137" s="36"/>
      <c r="M137" s="36" t="s">
        <v>273</v>
      </c>
      <c r="N137" s="11"/>
      <c r="O137" s="19" t="s">
        <v>695</v>
      </c>
      <c r="P137" s="7"/>
      <c r="Q137" s="24"/>
      <c r="R137" s="25"/>
      <c r="S137" s="7"/>
      <c r="T137" s="7"/>
      <c r="U137" s="7" t="s">
        <v>603</v>
      </c>
    </row>
    <row r="138" spans="1:21" x14ac:dyDescent="0.3">
      <c r="A138" s="7" t="s">
        <v>693</v>
      </c>
      <c r="B138" s="7" t="s">
        <v>694</v>
      </c>
      <c r="C138" s="7" t="s">
        <v>267</v>
      </c>
      <c r="D138" s="7" t="s">
        <v>268</v>
      </c>
      <c r="E138" s="18">
        <v>2020</v>
      </c>
      <c r="F138" s="18">
        <v>78</v>
      </c>
      <c r="G138" s="19" t="s">
        <v>14</v>
      </c>
      <c r="H138" s="18">
        <v>47</v>
      </c>
      <c r="I138" s="18" t="s">
        <v>14</v>
      </c>
      <c r="J138" s="18" t="s">
        <v>14</v>
      </c>
      <c r="K138" s="10">
        <v>43980</v>
      </c>
      <c r="L138" s="10"/>
      <c r="M138" s="10" t="s">
        <v>273</v>
      </c>
      <c r="N138" s="11"/>
      <c r="O138" s="19" t="s">
        <v>701</v>
      </c>
      <c r="P138" s="7"/>
      <c r="Q138" s="24"/>
      <c r="R138" s="25"/>
      <c r="S138" s="7"/>
      <c r="T138" s="7" t="s">
        <v>603</v>
      </c>
      <c r="U138" s="7" t="s">
        <v>603</v>
      </c>
    </row>
    <row r="139" spans="1:21" x14ac:dyDescent="0.3">
      <c r="A139" s="7" t="s">
        <v>564</v>
      </c>
      <c r="B139" s="7" t="s">
        <v>523</v>
      </c>
      <c r="C139" s="7" t="s">
        <v>565</v>
      </c>
      <c r="D139" s="7" t="s">
        <v>566</v>
      </c>
      <c r="E139" s="18">
        <v>2020</v>
      </c>
      <c r="F139" s="32">
        <v>67</v>
      </c>
      <c r="G139" s="38" t="s">
        <v>718</v>
      </c>
      <c r="H139" s="32" t="s">
        <v>14</v>
      </c>
      <c r="I139" s="32">
        <v>69</v>
      </c>
      <c r="J139" s="32">
        <v>81</v>
      </c>
      <c r="K139" s="36">
        <v>44013</v>
      </c>
      <c r="L139" s="36"/>
      <c r="M139" s="36" t="s">
        <v>273</v>
      </c>
      <c r="N139" s="11"/>
      <c r="O139" s="19" t="s">
        <v>633</v>
      </c>
      <c r="P139" s="7"/>
      <c r="Q139" s="24"/>
      <c r="R139" s="25"/>
      <c r="S139" s="7"/>
      <c r="T139" s="7"/>
      <c r="U139" s="7" t="s">
        <v>603</v>
      </c>
    </row>
    <row r="140" spans="1:21" x14ac:dyDescent="0.3">
      <c r="A140" s="7" t="s">
        <v>699</v>
      </c>
      <c r="B140" s="7" t="s">
        <v>700</v>
      </c>
      <c r="C140" s="7" t="s">
        <v>12</v>
      </c>
      <c r="D140" s="7" t="s">
        <v>13</v>
      </c>
      <c r="E140" s="18">
        <v>2020</v>
      </c>
      <c r="F140" s="32">
        <v>65</v>
      </c>
      <c r="G140" s="38" t="s">
        <v>14</v>
      </c>
      <c r="H140" s="32" t="s">
        <v>14</v>
      </c>
      <c r="I140" s="32">
        <v>719</v>
      </c>
      <c r="J140" s="32">
        <v>720</v>
      </c>
      <c r="K140" s="36">
        <v>44032</v>
      </c>
      <c r="L140" s="36"/>
      <c r="M140" s="36" t="s">
        <v>273</v>
      </c>
      <c r="N140" s="11"/>
      <c r="O140" s="19" t="s">
        <v>711</v>
      </c>
      <c r="P140" s="7"/>
      <c r="Q140" s="24"/>
      <c r="R140" s="25"/>
      <c r="S140" s="7"/>
      <c r="T140" s="7" t="s">
        <v>603</v>
      </c>
      <c r="U140" s="7" t="s">
        <v>603</v>
      </c>
    </row>
    <row r="141" spans="1:21" x14ac:dyDescent="0.3">
      <c r="A141" s="7" t="s">
        <v>713</v>
      </c>
      <c r="B141" s="7" t="s">
        <v>684</v>
      </c>
      <c r="C141" s="7" t="s">
        <v>647</v>
      </c>
      <c r="D141" s="7" t="s">
        <v>527</v>
      </c>
      <c r="E141" s="18">
        <v>2020</v>
      </c>
      <c r="F141" s="32">
        <v>383</v>
      </c>
      <c r="G141" s="38" t="s">
        <v>548</v>
      </c>
      <c r="H141" s="32" t="s">
        <v>14</v>
      </c>
      <c r="I141" s="32">
        <v>396</v>
      </c>
      <c r="J141" s="32">
        <v>397</v>
      </c>
      <c r="K141" s="36">
        <v>44035</v>
      </c>
      <c r="L141" s="36"/>
      <c r="M141" s="36" t="s">
        <v>273</v>
      </c>
      <c r="N141" s="11"/>
      <c r="O141" s="19" t="s">
        <v>714</v>
      </c>
      <c r="P141" s="7"/>
      <c r="Q141" s="24"/>
      <c r="R141" s="25"/>
      <c r="S141" s="7"/>
      <c r="T141" s="7"/>
      <c r="U141" s="7" t="s">
        <v>603</v>
      </c>
    </row>
    <row r="142" spans="1:21" x14ac:dyDescent="0.3">
      <c r="A142" s="7" t="s">
        <v>715</v>
      </c>
      <c r="B142" s="7" t="s">
        <v>716</v>
      </c>
      <c r="C142" s="7" t="s">
        <v>267</v>
      </c>
      <c r="D142" s="7" t="s">
        <v>268</v>
      </c>
      <c r="E142" s="18">
        <v>2020</v>
      </c>
      <c r="F142" s="32">
        <v>78</v>
      </c>
      <c r="G142" s="38" t="s">
        <v>14</v>
      </c>
      <c r="H142" s="32">
        <v>68</v>
      </c>
      <c r="I142" s="32" t="s">
        <v>14</v>
      </c>
      <c r="J142" s="32" t="s">
        <v>14</v>
      </c>
      <c r="K142" s="36">
        <v>44035</v>
      </c>
      <c r="L142" s="36"/>
      <c r="M142" s="36" t="s">
        <v>273</v>
      </c>
      <c r="N142" s="11"/>
      <c r="O142" s="19" t="s">
        <v>717</v>
      </c>
      <c r="P142" s="7"/>
      <c r="Q142" s="24"/>
      <c r="R142" s="25"/>
      <c r="S142" s="7"/>
      <c r="T142" s="7" t="s">
        <v>603</v>
      </c>
      <c r="U142" s="7" t="s">
        <v>603</v>
      </c>
    </row>
    <row r="143" spans="1:21" x14ac:dyDescent="0.3">
      <c r="A143" s="7" t="s">
        <v>673</v>
      </c>
      <c r="B143" s="7" t="s">
        <v>674</v>
      </c>
      <c r="C143" s="7" t="s">
        <v>89</v>
      </c>
      <c r="D143" s="7" t="s">
        <v>89</v>
      </c>
      <c r="E143" s="18">
        <v>2020</v>
      </c>
      <c r="F143" s="32">
        <v>20</v>
      </c>
      <c r="G143" s="38" t="s">
        <v>14</v>
      </c>
      <c r="H143" s="32">
        <v>1318</v>
      </c>
      <c r="I143" s="32" t="s">
        <v>14</v>
      </c>
      <c r="J143" s="32" t="s">
        <v>14</v>
      </c>
      <c r="K143" s="36">
        <v>44074</v>
      </c>
      <c r="L143" s="36"/>
      <c r="M143" s="36" t="s">
        <v>273</v>
      </c>
      <c r="N143" s="11"/>
      <c r="O143" s="19" t="s">
        <v>728</v>
      </c>
      <c r="P143" s="7"/>
      <c r="Q143" s="24"/>
      <c r="R143" s="25"/>
      <c r="S143" s="7"/>
      <c r="T143" s="7" t="s">
        <v>603</v>
      </c>
      <c r="U143" s="7" t="s">
        <v>603</v>
      </c>
    </row>
    <row r="144" spans="1:21" x14ac:dyDescent="0.3">
      <c r="A144" s="7" t="s">
        <v>680</v>
      </c>
      <c r="B144" s="7" t="s">
        <v>681</v>
      </c>
      <c r="C144" s="7" t="s">
        <v>723</v>
      </c>
      <c r="D144" s="7" t="s">
        <v>723</v>
      </c>
      <c r="E144" s="18">
        <v>2020</v>
      </c>
      <c r="F144" s="32">
        <v>10</v>
      </c>
      <c r="G144" s="38" t="s">
        <v>14</v>
      </c>
      <c r="H144" s="32" t="s">
        <v>730</v>
      </c>
      <c r="I144" s="32" t="s">
        <v>14</v>
      </c>
      <c r="J144" s="32" t="s">
        <v>14</v>
      </c>
      <c r="K144" s="36">
        <v>44084</v>
      </c>
      <c r="L144" s="36"/>
      <c r="M144" s="36" t="s">
        <v>273</v>
      </c>
      <c r="N144" s="11"/>
      <c r="O144" s="19" t="s">
        <v>731</v>
      </c>
      <c r="P144" s="7"/>
      <c r="Q144" s="24"/>
      <c r="R144" s="25"/>
      <c r="S144" s="7"/>
      <c r="T144" s="7" t="s">
        <v>603</v>
      </c>
      <c r="U144" s="7" t="s">
        <v>603</v>
      </c>
    </row>
    <row r="145" spans="1:21" x14ac:dyDescent="0.3">
      <c r="A145" s="7" t="s">
        <v>739</v>
      </c>
      <c r="B145" s="7" t="s">
        <v>685</v>
      </c>
      <c r="C145" s="7" t="s">
        <v>267</v>
      </c>
      <c r="D145" s="7" t="s">
        <v>268</v>
      </c>
      <c r="E145" s="18">
        <v>2020</v>
      </c>
      <c r="F145" s="32">
        <v>78</v>
      </c>
      <c r="G145" s="38" t="s">
        <v>14</v>
      </c>
      <c r="H145" s="32">
        <v>92</v>
      </c>
      <c r="I145" s="32" t="s">
        <v>14</v>
      </c>
      <c r="J145" s="32" t="s">
        <v>14</v>
      </c>
      <c r="K145" s="36">
        <v>44111</v>
      </c>
      <c r="L145" s="36"/>
      <c r="M145" s="36" t="s">
        <v>273</v>
      </c>
      <c r="N145" s="11"/>
      <c r="O145" s="19" t="s">
        <v>738</v>
      </c>
      <c r="P145" s="7"/>
      <c r="Q145" s="24"/>
      <c r="R145" s="25"/>
      <c r="S145" s="7"/>
      <c r="T145" s="7" t="s">
        <v>603</v>
      </c>
      <c r="U145" s="7" t="s">
        <v>603</v>
      </c>
    </row>
    <row r="146" spans="1:21" x14ac:dyDescent="0.3">
      <c r="A146" s="7" t="s">
        <v>704</v>
      </c>
      <c r="B146" s="7" t="s">
        <v>705</v>
      </c>
      <c r="C146" s="7" t="s">
        <v>160</v>
      </c>
      <c r="D146" s="7" t="s">
        <v>161</v>
      </c>
      <c r="E146" s="18">
        <v>2020</v>
      </c>
      <c r="F146" s="18">
        <v>14</v>
      </c>
      <c r="G146" s="19" t="s">
        <v>99</v>
      </c>
      <c r="H146" s="18" t="s">
        <v>752</v>
      </c>
      <c r="I146" s="18" t="s">
        <v>14</v>
      </c>
      <c r="J146" s="18" t="s">
        <v>14</v>
      </c>
      <c r="K146" s="10">
        <v>44123</v>
      </c>
      <c r="L146" s="10"/>
      <c r="M146" s="10" t="s">
        <v>273</v>
      </c>
      <c r="N146" s="11"/>
      <c r="O146" s="19" t="s">
        <v>740</v>
      </c>
      <c r="P146" s="7"/>
      <c r="Q146" s="24"/>
      <c r="R146" s="25"/>
      <c r="S146" s="7"/>
      <c r="T146" s="7" t="s">
        <v>602</v>
      </c>
      <c r="U146" s="7" t="s">
        <v>603</v>
      </c>
    </row>
    <row r="147" spans="1:21" x14ac:dyDescent="0.3">
      <c r="A147" s="7" t="s">
        <v>748</v>
      </c>
      <c r="B147" s="7" t="s">
        <v>750</v>
      </c>
      <c r="C147" s="7" t="s">
        <v>394</v>
      </c>
      <c r="D147" s="7" t="s">
        <v>749</v>
      </c>
      <c r="E147" s="18">
        <v>2020</v>
      </c>
      <c r="F147" s="18">
        <v>7</v>
      </c>
      <c r="G147" s="19" t="s">
        <v>548</v>
      </c>
      <c r="H147" s="18">
        <v>167</v>
      </c>
      <c r="I147" s="18" t="s">
        <v>14</v>
      </c>
      <c r="J147" s="18" t="s">
        <v>14</v>
      </c>
      <c r="K147" s="10">
        <v>44135</v>
      </c>
      <c r="L147" s="10"/>
      <c r="M147" s="10" t="s">
        <v>273</v>
      </c>
      <c r="N147" s="11"/>
      <c r="O147" s="19" t="s">
        <v>751</v>
      </c>
      <c r="P147" s="7"/>
      <c r="Q147" s="24"/>
      <c r="R147" s="25"/>
      <c r="S147" s="7"/>
      <c r="T147" s="7"/>
      <c r="U147" s="7" t="s">
        <v>603</v>
      </c>
    </row>
    <row r="148" spans="1:21" x14ac:dyDescent="0.3">
      <c r="A148" s="7" t="s">
        <v>771</v>
      </c>
      <c r="B148" s="7" t="s">
        <v>706</v>
      </c>
      <c r="C148" s="7" t="s">
        <v>267</v>
      </c>
      <c r="D148" s="7" t="s">
        <v>268</v>
      </c>
      <c r="E148" s="18">
        <v>2020</v>
      </c>
      <c r="F148" s="18">
        <v>78</v>
      </c>
      <c r="G148" s="19" t="s">
        <v>14</v>
      </c>
      <c r="H148" s="18">
        <v>137</v>
      </c>
      <c r="I148" s="18" t="s">
        <v>14</v>
      </c>
      <c r="J148" s="18" t="s">
        <v>14</v>
      </c>
      <c r="K148" s="10">
        <v>44196</v>
      </c>
      <c r="L148" s="10"/>
      <c r="M148" s="10" t="s">
        <v>273</v>
      </c>
      <c r="N148" s="11"/>
      <c r="O148" s="19" t="s">
        <v>768</v>
      </c>
      <c r="P148" s="7"/>
      <c r="Q148" s="24"/>
      <c r="R148" s="25"/>
      <c r="S148" s="7"/>
      <c r="T148" s="7" t="s">
        <v>603</v>
      </c>
      <c r="U148" s="7" t="s">
        <v>603</v>
      </c>
    </row>
    <row r="149" spans="1:21" x14ac:dyDescent="0.3">
      <c r="A149" s="7" t="s">
        <v>810</v>
      </c>
      <c r="B149" s="7" t="s">
        <v>811</v>
      </c>
      <c r="C149" s="7" t="s">
        <v>813</v>
      </c>
      <c r="D149" s="7" t="s">
        <v>812</v>
      </c>
      <c r="E149" s="18">
        <v>2021</v>
      </c>
      <c r="F149" s="18">
        <v>40</v>
      </c>
      <c r="G149" s="19" t="s">
        <v>125</v>
      </c>
      <c r="H149" s="18" t="s">
        <v>14</v>
      </c>
      <c r="I149" s="18">
        <v>567</v>
      </c>
      <c r="J149" s="18">
        <v>584</v>
      </c>
      <c r="K149" s="10">
        <v>44211</v>
      </c>
      <c r="L149" s="10"/>
      <c r="M149" s="10" t="s">
        <v>273</v>
      </c>
      <c r="N149" s="11"/>
      <c r="O149" s="19" t="s">
        <v>856</v>
      </c>
      <c r="P149" s="7"/>
      <c r="Q149" s="24"/>
      <c r="R149" s="25"/>
      <c r="S149" s="7"/>
      <c r="T149" s="7" t="s">
        <v>603</v>
      </c>
      <c r="U149" s="7" t="s">
        <v>603</v>
      </c>
    </row>
    <row r="150" spans="1:21" x14ac:dyDescent="0.3">
      <c r="A150" s="7" t="s">
        <v>778</v>
      </c>
      <c r="B150" s="7" t="s">
        <v>773</v>
      </c>
      <c r="C150" s="7" t="s">
        <v>774</v>
      </c>
      <c r="D150" s="7" t="s">
        <v>775</v>
      </c>
      <c r="E150" s="18">
        <v>2021</v>
      </c>
      <c r="F150" s="18">
        <v>397</v>
      </c>
      <c r="G150" s="19" t="s">
        <v>797</v>
      </c>
      <c r="H150" s="18" t="s">
        <v>14</v>
      </c>
      <c r="I150" s="18">
        <v>1045</v>
      </c>
      <c r="J150" s="18">
        <v>1046</v>
      </c>
      <c r="K150" s="10">
        <v>44256</v>
      </c>
      <c r="L150" s="10"/>
      <c r="M150" s="10" t="s">
        <v>273</v>
      </c>
      <c r="N150" s="11"/>
      <c r="O150" s="19" t="s">
        <v>779</v>
      </c>
      <c r="P150" s="7"/>
      <c r="Q150" s="24"/>
      <c r="R150" s="25"/>
      <c r="S150" s="7"/>
      <c r="T150" s="7" t="s">
        <v>603</v>
      </c>
      <c r="U150" s="7" t="s">
        <v>603</v>
      </c>
    </row>
    <row r="151" spans="1:21" x14ac:dyDescent="0.3">
      <c r="A151" s="7" t="s">
        <v>741</v>
      </c>
      <c r="B151" s="7" t="s">
        <v>742</v>
      </c>
      <c r="C151" s="7" t="s">
        <v>12</v>
      </c>
      <c r="D151" s="7" t="s">
        <v>13</v>
      </c>
      <c r="E151" s="18">
        <v>2021</v>
      </c>
      <c r="F151" s="18">
        <v>66</v>
      </c>
      <c r="G151" s="19" t="s">
        <v>14</v>
      </c>
      <c r="H151" s="18">
        <v>619011</v>
      </c>
      <c r="I151" s="18" t="s">
        <v>14</v>
      </c>
      <c r="J151" s="18" t="s">
        <v>14</v>
      </c>
      <c r="K151" s="42">
        <v>44260</v>
      </c>
      <c r="L151" s="42"/>
      <c r="M151" s="42" t="s">
        <v>273</v>
      </c>
      <c r="N151" s="11"/>
      <c r="O151" s="19" t="s">
        <v>795</v>
      </c>
      <c r="P151" s="7"/>
      <c r="Q151" s="24"/>
      <c r="R151" s="25"/>
      <c r="S151" s="7"/>
      <c r="T151" s="7" t="s">
        <v>603</v>
      </c>
      <c r="U151" s="7" t="s">
        <v>603</v>
      </c>
    </row>
    <row r="152" spans="1:21" x14ac:dyDescent="0.3">
      <c r="A152" s="7" t="s">
        <v>650</v>
      </c>
      <c r="B152" s="7" t="s">
        <v>651</v>
      </c>
      <c r="C152" s="7" t="s">
        <v>81</v>
      </c>
      <c r="D152" s="7" t="s">
        <v>82</v>
      </c>
      <c r="E152" s="18">
        <v>2021</v>
      </c>
      <c r="F152" s="18">
        <v>21</v>
      </c>
      <c r="G152" s="19" t="s">
        <v>548</v>
      </c>
      <c r="H152" s="18" t="s">
        <v>14</v>
      </c>
      <c r="I152" s="18" t="s">
        <v>798</v>
      </c>
      <c r="J152" s="18" t="s">
        <v>799</v>
      </c>
      <c r="K152" s="42">
        <v>44287</v>
      </c>
      <c r="L152" s="42"/>
      <c r="M152" s="42" t="s">
        <v>273</v>
      </c>
      <c r="N152" s="11"/>
      <c r="O152" s="19" t="s">
        <v>747</v>
      </c>
      <c r="P152" s="7"/>
      <c r="Q152" s="24"/>
      <c r="R152" s="25"/>
      <c r="S152" s="7"/>
      <c r="T152" s="7" t="s">
        <v>602</v>
      </c>
      <c r="U152" s="7" t="s">
        <v>603</v>
      </c>
    </row>
    <row r="153" spans="1:21" x14ac:dyDescent="0.3">
      <c r="A153" s="7" t="s">
        <v>755</v>
      </c>
      <c r="B153" s="7" t="s">
        <v>756</v>
      </c>
      <c r="C153" s="7" t="s">
        <v>757</v>
      </c>
      <c r="D153" s="7" t="s">
        <v>758</v>
      </c>
      <c r="E153" s="18">
        <v>2021</v>
      </c>
      <c r="F153" s="32">
        <v>72</v>
      </c>
      <c r="G153" s="38" t="s">
        <v>548</v>
      </c>
      <c r="H153" s="32" t="s">
        <v>14</v>
      </c>
      <c r="I153" s="32">
        <v>415</v>
      </c>
      <c r="J153" s="32">
        <v>419</v>
      </c>
      <c r="K153" s="46">
        <v>44287</v>
      </c>
      <c r="L153" s="46"/>
      <c r="M153" s="46" t="s">
        <v>273</v>
      </c>
      <c r="N153" s="11"/>
      <c r="O153" s="19" t="s">
        <v>759</v>
      </c>
      <c r="P153" s="7"/>
      <c r="Q153" s="24"/>
      <c r="R153" s="25"/>
      <c r="S153" s="7"/>
      <c r="T153" s="7" t="s">
        <v>602</v>
      </c>
      <c r="U153" s="7" t="s">
        <v>603</v>
      </c>
    </row>
    <row r="154" spans="1:21" x14ac:dyDescent="0.3">
      <c r="A154" s="7" t="s">
        <v>697</v>
      </c>
      <c r="B154" s="7" t="s">
        <v>698</v>
      </c>
      <c r="C154" s="7" t="s">
        <v>89</v>
      </c>
      <c r="D154" s="7" t="s">
        <v>89</v>
      </c>
      <c r="E154" s="18">
        <v>2021</v>
      </c>
      <c r="F154" s="32">
        <v>21</v>
      </c>
      <c r="G154" s="38" t="s">
        <v>14</v>
      </c>
      <c r="H154" s="32">
        <v>635</v>
      </c>
      <c r="I154" s="32" t="s">
        <v>14</v>
      </c>
      <c r="J154" s="32" t="s">
        <v>14</v>
      </c>
      <c r="K154" s="42">
        <v>44287</v>
      </c>
      <c r="L154" s="42"/>
      <c r="M154" s="46" t="s">
        <v>273</v>
      </c>
      <c r="N154" s="11"/>
      <c r="O154" s="19" t="s">
        <v>803</v>
      </c>
      <c r="P154" s="7"/>
      <c r="Q154" s="24"/>
      <c r="R154" s="25"/>
      <c r="S154" s="7"/>
      <c r="T154" s="7" t="s">
        <v>603</v>
      </c>
      <c r="U154" s="7" t="s">
        <v>603</v>
      </c>
    </row>
    <row r="155" spans="1:21" x14ac:dyDescent="0.3">
      <c r="A155" s="7" t="s">
        <v>809</v>
      </c>
      <c r="B155" s="7" t="s">
        <v>692</v>
      </c>
      <c r="C155" s="7" t="s">
        <v>267</v>
      </c>
      <c r="D155" s="7" t="s">
        <v>268</v>
      </c>
      <c r="E155" s="18">
        <v>2021</v>
      </c>
      <c r="F155" s="18">
        <v>79</v>
      </c>
      <c r="G155" s="19" t="s">
        <v>14</v>
      </c>
      <c r="H155" s="18">
        <v>73</v>
      </c>
      <c r="I155" s="18" t="s">
        <v>14</v>
      </c>
      <c r="J155" s="18" t="s">
        <v>14</v>
      </c>
      <c r="K155" s="42">
        <v>44327</v>
      </c>
      <c r="L155" s="42"/>
      <c r="M155" s="42" t="s">
        <v>273</v>
      </c>
      <c r="N155" s="11"/>
      <c r="O155" s="19" t="s">
        <v>808</v>
      </c>
      <c r="P155" s="7"/>
      <c r="Q155" s="24"/>
      <c r="R155" s="25"/>
      <c r="S155" s="7"/>
      <c r="T155" s="7" t="s">
        <v>603</v>
      </c>
      <c r="U155" s="7" t="s">
        <v>603</v>
      </c>
    </row>
    <row r="156" spans="1:21" x14ac:dyDescent="0.3">
      <c r="A156" s="7" t="s">
        <v>760</v>
      </c>
      <c r="B156" s="7" t="s">
        <v>763</v>
      </c>
      <c r="C156" s="7" t="s">
        <v>761</v>
      </c>
      <c r="D156" s="7" t="s">
        <v>762</v>
      </c>
      <c r="E156" s="18">
        <v>2021</v>
      </c>
      <c r="F156" s="18">
        <v>39</v>
      </c>
      <c r="G156" s="19" t="s">
        <v>14</v>
      </c>
      <c r="H156" s="18" t="s">
        <v>14</v>
      </c>
      <c r="I156" s="18">
        <v>152</v>
      </c>
      <c r="J156" s="18">
        <v>159</v>
      </c>
      <c r="K156" s="10">
        <v>44348</v>
      </c>
      <c r="L156" s="10"/>
      <c r="M156" s="10" t="s">
        <v>273</v>
      </c>
      <c r="N156" s="11"/>
      <c r="O156" s="19" t="s">
        <v>777</v>
      </c>
      <c r="P156" s="7"/>
      <c r="Q156" s="24"/>
      <c r="R156" s="25"/>
      <c r="S156" s="7"/>
      <c r="T156" s="7" t="s">
        <v>603</v>
      </c>
      <c r="U156" s="7" t="s">
        <v>603</v>
      </c>
    </row>
    <row r="157" spans="1:21" x14ac:dyDescent="0.3">
      <c r="A157" s="7" t="s">
        <v>814</v>
      </c>
      <c r="B157" s="7" t="s">
        <v>815</v>
      </c>
      <c r="C157" s="7" t="s">
        <v>380</v>
      </c>
      <c r="D157" s="7" t="s">
        <v>381</v>
      </c>
      <c r="E157" s="18">
        <v>2021</v>
      </c>
      <c r="F157" s="32">
        <v>20</v>
      </c>
      <c r="G157" s="38" t="s">
        <v>14</v>
      </c>
      <c r="H157" s="32">
        <v>260</v>
      </c>
      <c r="I157" s="32" t="s">
        <v>14</v>
      </c>
      <c r="J157" s="32" t="s">
        <v>14</v>
      </c>
      <c r="K157" s="10">
        <v>44356</v>
      </c>
      <c r="L157" s="10"/>
      <c r="M157" s="36" t="s">
        <v>273</v>
      </c>
      <c r="N157" s="11"/>
      <c r="O157" s="19" t="s">
        <v>816</v>
      </c>
      <c r="P157" s="7"/>
      <c r="Q157" s="24"/>
      <c r="R157" s="25"/>
      <c r="S157" s="7"/>
      <c r="T157" s="7"/>
      <c r="U157" s="7" t="s">
        <v>603</v>
      </c>
    </row>
    <row r="158" spans="1:21" x14ac:dyDescent="0.3">
      <c r="A158" s="7" t="s">
        <v>709</v>
      </c>
      <c r="B158" s="7" t="s">
        <v>710</v>
      </c>
      <c r="C158" s="7" t="s">
        <v>267</v>
      </c>
      <c r="D158" s="7" t="s">
        <v>268</v>
      </c>
      <c r="E158" s="18">
        <v>2021</v>
      </c>
      <c r="F158" s="18">
        <v>79</v>
      </c>
      <c r="G158" s="19" t="s">
        <v>14</v>
      </c>
      <c r="H158" s="18">
        <v>112</v>
      </c>
      <c r="I158" s="18" t="s">
        <v>14</v>
      </c>
      <c r="J158" s="18" t="s">
        <v>14</v>
      </c>
      <c r="K158" s="10">
        <v>44370</v>
      </c>
      <c r="L158" s="10"/>
      <c r="M158" s="10" t="s">
        <v>273</v>
      </c>
      <c r="N158" s="11"/>
      <c r="O158" s="19" t="s">
        <v>821</v>
      </c>
      <c r="P158" s="7"/>
      <c r="Q158" s="24"/>
      <c r="R158" s="25"/>
      <c r="S158" s="7"/>
      <c r="T158" s="7" t="s">
        <v>603</v>
      </c>
      <c r="U158" s="7" t="s">
        <v>603</v>
      </c>
    </row>
    <row r="159" spans="1:21" x14ac:dyDescent="0.3">
      <c r="A159" s="7" t="s">
        <v>806</v>
      </c>
      <c r="B159" s="7" t="s">
        <v>807</v>
      </c>
      <c r="C159" s="7" t="s">
        <v>819</v>
      </c>
      <c r="D159" s="7" t="s">
        <v>819</v>
      </c>
      <c r="E159" s="18">
        <v>2021</v>
      </c>
      <c r="F159" s="18">
        <v>13</v>
      </c>
      <c r="G159" s="19" t="s">
        <v>14</v>
      </c>
      <c r="H159" s="18">
        <v>7027</v>
      </c>
      <c r="I159" s="18" t="s">
        <v>14</v>
      </c>
      <c r="J159" s="18" t="s">
        <v>14</v>
      </c>
      <c r="K159" s="42">
        <v>44370</v>
      </c>
      <c r="L159" s="42"/>
      <c r="M159" s="42" t="s">
        <v>273</v>
      </c>
      <c r="N159" s="11"/>
      <c r="O159" s="19" t="s">
        <v>820</v>
      </c>
      <c r="P159" s="7"/>
      <c r="Q159" s="24"/>
      <c r="R159" s="25"/>
      <c r="S159" s="7"/>
      <c r="T159" s="7" t="s">
        <v>603</v>
      </c>
      <c r="U159" s="7" t="s">
        <v>603</v>
      </c>
    </row>
    <row r="160" spans="1:21" x14ac:dyDescent="0.3">
      <c r="A160" s="7" t="s">
        <v>793</v>
      </c>
      <c r="B160" s="7" t="s">
        <v>794</v>
      </c>
      <c r="C160" s="7" t="s">
        <v>267</v>
      </c>
      <c r="D160" s="7" t="s">
        <v>268</v>
      </c>
      <c r="E160" s="18">
        <v>2021</v>
      </c>
      <c r="F160" s="18">
        <v>79</v>
      </c>
      <c r="G160" s="19" t="s">
        <v>14</v>
      </c>
      <c r="H160" s="18">
        <v>126</v>
      </c>
      <c r="I160" s="18" t="s">
        <v>14</v>
      </c>
      <c r="J160" s="18" t="s">
        <v>14</v>
      </c>
      <c r="K160" s="42">
        <v>44384</v>
      </c>
      <c r="L160" s="42"/>
      <c r="M160" s="42" t="s">
        <v>273</v>
      </c>
      <c r="N160" s="11"/>
      <c r="O160" s="19" t="s">
        <v>878</v>
      </c>
      <c r="P160" s="7"/>
      <c r="Q160" s="24"/>
      <c r="R160" s="25"/>
      <c r="S160" s="7"/>
      <c r="T160" s="7" t="s">
        <v>603</v>
      </c>
      <c r="U160" s="7" t="s">
        <v>603</v>
      </c>
    </row>
    <row r="161" spans="1:21" x14ac:dyDescent="0.3">
      <c r="A161" s="7" t="s">
        <v>702</v>
      </c>
      <c r="B161" s="7" t="s">
        <v>703</v>
      </c>
      <c r="C161" s="7" t="s">
        <v>259</v>
      </c>
      <c r="D161" s="7" t="s">
        <v>262</v>
      </c>
      <c r="E161" s="18">
        <v>2021</v>
      </c>
      <c r="F161" s="18">
        <v>75</v>
      </c>
      <c r="G161" s="19" t="s">
        <v>63</v>
      </c>
      <c r="H161" s="18" t="s">
        <v>14</v>
      </c>
      <c r="I161" s="18">
        <v>764</v>
      </c>
      <c r="J161" s="18">
        <v>771</v>
      </c>
      <c r="K161" s="42">
        <v>44386</v>
      </c>
      <c r="L161" s="42"/>
      <c r="M161" s="42" t="s">
        <v>273</v>
      </c>
      <c r="N161" s="11"/>
      <c r="O161" s="19" t="s">
        <v>772</v>
      </c>
      <c r="P161" s="7"/>
      <c r="Q161" s="24"/>
      <c r="R161" s="25"/>
      <c r="S161" s="7"/>
      <c r="T161" s="7" t="s">
        <v>603</v>
      </c>
      <c r="U161" s="7" t="s">
        <v>603</v>
      </c>
    </row>
    <row r="162" spans="1:21" x14ac:dyDescent="0.3">
      <c r="A162" s="7" t="s">
        <v>833</v>
      </c>
      <c r="B162" s="7" t="s">
        <v>834</v>
      </c>
      <c r="C162" s="7" t="s">
        <v>267</v>
      </c>
      <c r="D162" s="7" t="s">
        <v>268</v>
      </c>
      <c r="E162" s="18">
        <v>2021</v>
      </c>
      <c r="F162" s="18">
        <v>79</v>
      </c>
      <c r="G162" s="19" t="s">
        <v>14</v>
      </c>
      <c r="H162" s="18">
        <v>138</v>
      </c>
      <c r="I162" s="18" t="s">
        <v>14</v>
      </c>
      <c r="J162" s="18" t="s">
        <v>14</v>
      </c>
      <c r="K162" s="42">
        <v>44406</v>
      </c>
      <c r="L162" s="42"/>
      <c r="M162" s="42" t="s">
        <v>273</v>
      </c>
      <c r="N162" s="11"/>
      <c r="O162" s="19" t="s">
        <v>835</v>
      </c>
      <c r="P162" s="7"/>
      <c r="Q162" s="24"/>
      <c r="R162" s="25"/>
      <c r="S162" s="7"/>
      <c r="T162" s="7" t="s">
        <v>603</v>
      </c>
      <c r="U162" s="7" t="s">
        <v>603</v>
      </c>
    </row>
    <row r="163" spans="1:21" x14ac:dyDescent="0.3">
      <c r="A163" s="7" t="s">
        <v>743</v>
      </c>
      <c r="B163" s="7" t="s">
        <v>712</v>
      </c>
      <c r="C163" s="7" t="s">
        <v>744</v>
      </c>
      <c r="D163" s="7" t="s">
        <v>745</v>
      </c>
      <c r="E163" s="18">
        <v>2021</v>
      </c>
      <c r="F163" s="32">
        <v>131</v>
      </c>
      <c r="G163" s="38" t="s">
        <v>125</v>
      </c>
      <c r="H163" s="32" t="s">
        <v>14</v>
      </c>
      <c r="I163" s="32">
        <v>964</v>
      </c>
      <c r="J163" s="32">
        <v>972</v>
      </c>
      <c r="K163" s="46">
        <v>44409</v>
      </c>
      <c r="L163" s="46"/>
      <c r="M163" s="46" t="s">
        <v>273</v>
      </c>
      <c r="N163" s="11"/>
      <c r="O163" s="19" t="s">
        <v>746</v>
      </c>
      <c r="P163" s="7"/>
      <c r="Q163" s="24"/>
      <c r="R163" s="25"/>
      <c r="S163" s="7"/>
      <c r="T163" s="7" t="s">
        <v>602</v>
      </c>
      <c r="U163" s="7" t="s">
        <v>603</v>
      </c>
    </row>
    <row r="164" spans="1:21" x14ac:dyDescent="0.3">
      <c r="A164" s="7" t="s">
        <v>769</v>
      </c>
      <c r="B164" s="7" t="s">
        <v>770</v>
      </c>
      <c r="C164" s="7" t="s">
        <v>252</v>
      </c>
      <c r="D164" s="7" t="s">
        <v>344</v>
      </c>
      <c r="E164" s="18">
        <v>2021</v>
      </c>
      <c r="F164" s="32">
        <v>21</v>
      </c>
      <c r="G164" s="38" t="s">
        <v>14</v>
      </c>
      <c r="H164" s="32">
        <v>785</v>
      </c>
      <c r="I164" s="32" t="s">
        <v>14</v>
      </c>
      <c r="J164" s="32" t="s">
        <v>14</v>
      </c>
      <c r="K164" s="42">
        <v>44418</v>
      </c>
      <c r="L164" s="42"/>
      <c r="M164" s="46" t="s">
        <v>273</v>
      </c>
      <c r="N164" s="11"/>
      <c r="O164" s="19" t="s">
        <v>838</v>
      </c>
      <c r="P164" s="7"/>
      <c r="Q164" s="24"/>
      <c r="R164" s="25"/>
      <c r="S164" s="7"/>
      <c r="T164" s="7" t="s">
        <v>603</v>
      </c>
      <c r="U164" s="7" t="s">
        <v>603</v>
      </c>
    </row>
    <row r="165" spans="1:21" x14ac:dyDescent="0.3">
      <c r="A165" s="7" t="s">
        <v>767</v>
      </c>
      <c r="B165" s="7" t="s">
        <v>854</v>
      </c>
      <c r="C165" s="7" t="s">
        <v>160</v>
      </c>
      <c r="D165" s="7" t="s">
        <v>161</v>
      </c>
      <c r="E165" s="18">
        <v>2021</v>
      </c>
      <c r="F165" s="32">
        <v>15</v>
      </c>
      <c r="G165" s="38" t="s">
        <v>425</v>
      </c>
      <c r="H165" s="32" t="s">
        <v>853</v>
      </c>
      <c r="I165" s="32" t="s">
        <v>14</v>
      </c>
      <c r="J165" s="32" t="s">
        <v>14</v>
      </c>
      <c r="K165" s="42">
        <v>44448</v>
      </c>
      <c r="L165" s="42"/>
      <c r="M165" s="46" t="s">
        <v>273</v>
      </c>
      <c r="N165" s="11"/>
      <c r="O165" s="19" t="s">
        <v>852</v>
      </c>
      <c r="P165" s="7"/>
      <c r="Q165" s="24"/>
      <c r="R165" s="25"/>
      <c r="S165" s="7"/>
      <c r="T165" s="7"/>
      <c r="U165" s="7" t="s">
        <v>603</v>
      </c>
    </row>
    <row r="166" spans="1:21" x14ac:dyDescent="0.3">
      <c r="A166" s="7" t="s">
        <v>857</v>
      </c>
      <c r="B166" s="7" t="s">
        <v>861</v>
      </c>
      <c r="C166" s="7" t="s">
        <v>858</v>
      </c>
      <c r="D166" s="7" t="s">
        <v>862</v>
      </c>
      <c r="E166" s="18">
        <v>2021</v>
      </c>
      <c r="F166" s="32">
        <v>10</v>
      </c>
      <c r="G166" s="38" t="s">
        <v>14</v>
      </c>
      <c r="H166" s="32" t="s">
        <v>859</v>
      </c>
      <c r="I166" s="32" t="s">
        <v>14</v>
      </c>
      <c r="J166" s="32" t="s">
        <v>14</v>
      </c>
      <c r="K166" s="42">
        <v>44466</v>
      </c>
      <c r="L166" s="42"/>
      <c r="M166" s="46" t="s">
        <v>273</v>
      </c>
      <c r="N166" s="11"/>
      <c r="O166" s="19" t="s">
        <v>860</v>
      </c>
      <c r="P166" s="7"/>
      <c r="Q166" s="24"/>
      <c r="R166" s="25"/>
      <c r="S166" s="7"/>
      <c r="T166" s="7" t="s">
        <v>603</v>
      </c>
      <c r="U166" s="7" t="s">
        <v>603</v>
      </c>
    </row>
    <row r="167" spans="1:21" x14ac:dyDescent="0.3">
      <c r="A167" s="7" t="s">
        <v>719</v>
      </c>
      <c r="B167" s="7" t="s">
        <v>720</v>
      </c>
      <c r="C167" s="7" t="s">
        <v>721</v>
      </c>
      <c r="D167" s="7" t="s">
        <v>722</v>
      </c>
      <c r="E167" s="18">
        <v>2021</v>
      </c>
      <c r="F167" s="18">
        <v>126</v>
      </c>
      <c r="G167" s="19" t="s">
        <v>111</v>
      </c>
      <c r="H167" s="18">
        <v>942</v>
      </c>
      <c r="I167" s="18">
        <v>949</v>
      </c>
      <c r="J167" s="18" t="s">
        <v>14</v>
      </c>
      <c r="K167" s="42">
        <v>44467</v>
      </c>
      <c r="L167" s="42"/>
      <c r="M167" s="42" t="s">
        <v>273</v>
      </c>
      <c r="N167" s="11"/>
      <c r="O167" s="19" t="s">
        <v>754</v>
      </c>
      <c r="P167" s="7"/>
      <c r="Q167" s="24"/>
      <c r="R167" s="25"/>
      <c r="S167" s="7"/>
      <c r="T167" s="7" t="s">
        <v>603</v>
      </c>
      <c r="U167" s="7" t="s">
        <v>603</v>
      </c>
    </row>
    <row r="168" spans="1:21" x14ac:dyDescent="0.3">
      <c r="A168" s="7" t="s">
        <v>827</v>
      </c>
      <c r="B168" s="7" t="s">
        <v>836</v>
      </c>
      <c r="C168" s="7" t="s">
        <v>764</v>
      </c>
      <c r="D168" s="7" t="s">
        <v>765</v>
      </c>
      <c r="E168" s="18">
        <v>2021</v>
      </c>
      <c r="F168" s="18">
        <v>94</v>
      </c>
      <c r="G168" s="19" t="s">
        <v>14</v>
      </c>
      <c r="H168" s="18">
        <v>105009</v>
      </c>
      <c r="I168" s="18" t="s">
        <v>14</v>
      </c>
      <c r="J168" s="18" t="s">
        <v>14</v>
      </c>
      <c r="K168" s="42">
        <v>44470</v>
      </c>
      <c r="L168" s="42"/>
      <c r="M168" s="42" t="s">
        <v>273</v>
      </c>
      <c r="N168" s="11"/>
      <c r="O168" s="19" t="s">
        <v>829</v>
      </c>
      <c r="P168" s="7"/>
      <c r="Q168" s="24"/>
      <c r="R168" s="25"/>
      <c r="S168" s="7"/>
      <c r="T168" s="7"/>
      <c r="U168" s="7" t="s">
        <v>603</v>
      </c>
    </row>
    <row r="169" spans="1:21" x14ac:dyDescent="0.3">
      <c r="A169" s="7" t="s">
        <v>817</v>
      </c>
      <c r="B169" s="7" t="s">
        <v>818</v>
      </c>
      <c r="C169" s="7" t="s">
        <v>89</v>
      </c>
      <c r="D169" s="7" t="s">
        <v>89</v>
      </c>
      <c r="E169" s="18">
        <v>2021</v>
      </c>
      <c r="F169" s="18">
        <v>21</v>
      </c>
      <c r="G169" s="19" t="s">
        <v>14</v>
      </c>
      <c r="H169" s="18">
        <v>1827</v>
      </c>
      <c r="I169" s="18" t="s">
        <v>14</v>
      </c>
      <c r="J169" s="18" t="s">
        <v>14</v>
      </c>
      <c r="K169" s="42">
        <v>44478</v>
      </c>
      <c r="L169" s="42"/>
      <c r="M169" s="42" t="s">
        <v>273</v>
      </c>
      <c r="N169" s="11"/>
      <c r="O169" s="19" t="s">
        <v>867</v>
      </c>
      <c r="P169" s="7"/>
      <c r="Q169" s="24"/>
      <c r="R169" s="25"/>
      <c r="S169" s="7"/>
      <c r="T169" s="7" t="s">
        <v>603</v>
      </c>
      <c r="U169" s="7" t="s">
        <v>603</v>
      </c>
    </row>
    <row r="170" spans="1:21" x14ac:dyDescent="0.3">
      <c r="A170" s="7" t="s">
        <v>786</v>
      </c>
      <c r="B170" s="7" t="s">
        <v>785</v>
      </c>
      <c r="C170" s="7" t="s">
        <v>287</v>
      </c>
      <c r="D170" s="7" t="s">
        <v>330</v>
      </c>
      <c r="E170" s="18">
        <v>2021</v>
      </c>
      <c r="F170" s="18">
        <v>31</v>
      </c>
      <c r="G170" s="19" t="s">
        <v>92</v>
      </c>
      <c r="H170" s="18" t="s">
        <v>14</v>
      </c>
      <c r="I170" s="18">
        <v>958</v>
      </c>
      <c r="J170" s="18">
        <v>967</v>
      </c>
      <c r="K170" s="42">
        <v>44495</v>
      </c>
      <c r="L170" s="42"/>
      <c r="M170" s="42" t="s">
        <v>273</v>
      </c>
      <c r="N170" s="11"/>
      <c r="O170" s="19" t="s">
        <v>848</v>
      </c>
      <c r="P170" s="7"/>
      <c r="Q170" s="24"/>
      <c r="R170" s="25"/>
      <c r="S170" s="7"/>
      <c r="T170" s="7" t="s">
        <v>603</v>
      </c>
      <c r="U170" s="7" t="s">
        <v>603</v>
      </c>
    </row>
    <row r="171" spans="1:21" x14ac:dyDescent="0.3">
      <c r="A171" s="7" t="s">
        <v>804</v>
      </c>
      <c r="B171" s="7" t="s">
        <v>805</v>
      </c>
      <c r="C171" s="7" t="s">
        <v>870</v>
      </c>
      <c r="D171" s="7" t="s">
        <v>871</v>
      </c>
      <c r="E171" s="18">
        <v>2021</v>
      </c>
      <c r="F171" s="18">
        <v>22</v>
      </c>
      <c r="G171" s="19" t="s">
        <v>14</v>
      </c>
      <c r="H171" s="18">
        <v>233</v>
      </c>
      <c r="I171" s="18" t="s">
        <v>14</v>
      </c>
      <c r="J171" s="18" t="s">
        <v>14</v>
      </c>
      <c r="K171" s="42">
        <v>44518</v>
      </c>
      <c r="L171" s="42"/>
      <c r="M171" s="42" t="s">
        <v>273</v>
      </c>
      <c r="N171" s="11"/>
      <c r="O171" s="19" t="s">
        <v>879</v>
      </c>
      <c r="P171" s="7"/>
      <c r="Q171" s="24"/>
      <c r="R171" s="25"/>
      <c r="S171" s="7"/>
      <c r="T171" s="7" t="s">
        <v>603</v>
      </c>
      <c r="U171" s="7" t="s">
        <v>603</v>
      </c>
    </row>
    <row r="172" spans="1:21" x14ac:dyDescent="0.3">
      <c r="A172" s="7" t="s">
        <v>828</v>
      </c>
      <c r="B172" s="7" t="s">
        <v>882</v>
      </c>
      <c r="C172" s="7" t="s">
        <v>723</v>
      </c>
      <c r="D172" s="7" t="s">
        <v>723</v>
      </c>
      <c r="E172" s="18">
        <v>2021</v>
      </c>
      <c r="F172" s="18">
        <v>11</v>
      </c>
      <c r="G172" s="19" t="s">
        <v>14</v>
      </c>
      <c r="H172" s="18" t="s">
        <v>880</v>
      </c>
      <c r="I172" s="18" t="s">
        <v>14</v>
      </c>
      <c r="J172" s="18" t="s">
        <v>14</v>
      </c>
      <c r="K172" s="42">
        <v>44518</v>
      </c>
      <c r="L172" s="42"/>
      <c r="M172" s="42" t="s">
        <v>273</v>
      </c>
      <c r="N172" s="11"/>
      <c r="O172" s="19" t="s">
        <v>881</v>
      </c>
      <c r="P172" s="7"/>
      <c r="Q172" s="24"/>
      <c r="R172" s="25"/>
      <c r="S172" s="7"/>
      <c r="T172" s="7" t="s">
        <v>603</v>
      </c>
      <c r="U172" s="7" t="s">
        <v>603</v>
      </c>
    </row>
    <row r="173" spans="1:21" x14ac:dyDescent="0.3">
      <c r="A173" s="7" t="s">
        <v>780</v>
      </c>
      <c r="B173" s="7" t="s">
        <v>783</v>
      </c>
      <c r="C173" s="7" t="s">
        <v>781</v>
      </c>
      <c r="D173" s="7" t="s">
        <v>782</v>
      </c>
      <c r="E173" s="18">
        <v>2021</v>
      </c>
      <c r="F173" s="18">
        <v>30</v>
      </c>
      <c r="G173" s="19" t="s">
        <v>65</v>
      </c>
      <c r="H173" s="18" t="s">
        <v>14</v>
      </c>
      <c r="I173" s="18">
        <v>1716</v>
      </c>
      <c r="J173" s="18">
        <v>1726</v>
      </c>
      <c r="K173" s="42">
        <v>44531</v>
      </c>
      <c r="L173" s="42"/>
      <c r="M173" s="42" t="s">
        <v>273</v>
      </c>
      <c r="N173" s="11"/>
      <c r="O173" s="19" t="s">
        <v>824</v>
      </c>
      <c r="P173" s="7"/>
      <c r="Q173" s="24"/>
      <c r="R173" s="25"/>
      <c r="S173" s="7"/>
      <c r="T173" s="7" t="s">
        <v>603</v>
      </c>
      <c r="U173" s="7" t="s">
        <v>603</v>
      </c>
    </row>
    <row r="174" spans="1:21" x14ac:dyDescent="0.3">
      <c r="A174" s="7" t="s">
        <v>885</v>
      </c>
      <c r="B174" s="7" t="s">
        <v>796</v>
      </c>
      <c r="C174" s="7" t="s">
        <v>338</v>
      </c>
      <c r="D174" s="7" t="s">
        <v>339</v>
      </c>
      <c r="E174" s="18">
        <v>2021</v>
      </c>
      <c r="F174" s="18">
        <v>26</v>
      </c>
      <c r="G174" s="19" t="s">
        <v>886</v>
      </c>
      <c r="H174" s="18" t="s">
        <v>887</v>
      </c>
      <c r="I174" s="18" t="s">
        <v>14</v>
      </c>
      <c r="J174" s="18" t="s">
        <v>14</v>
      </c>
      <c r="K174" s="42">
        <v>44532</v>
      </c>
      <c r="L174" s="42"/>
      <c r="M174" s="42" t="s">
        <v>273</v>
      </c>
      <c r="N174" s="11"/>
      <c r="O174" s="19" t="s">
        <v>888</v>
      </c>
      <c r="P174" s="7"/>
      <c r="Q174" s="24"/>
      <c r="R174" s="25"/>
      <c r="S174" s="7"/>
      <c r="T174" s="7" t="s">
        <v>603</v>
      </c>
      <c r="U174" s="7" t="s">
        <v>603</v>
      </c>
    </row>
    <row r="175" spans="1:21" x14ac:dyDescent="0.3">
      <c r="A175" s="7" t="s">
        <v>883</v>
      </c>
      <c r="B175" s="7" t="s">
        <v>884</v>
      </c>
      <c r="C175" s="7" t="s">
        <v>55</v>
      </c>
      <c r="D175" s="7" t="s">
        <v>56</v>
      </c>
      <c r="E175" s="18">
        <v>2022</v>
      </c>
      <c r="F175" s="18">
        <v>27</v>
      </c>
      <c r="G175" s="19" t="s">
        <v>101</v>
      </c>
      <c r="H175" s="18" t="s">
        <v>14</v>
      </c>
      <c r="I175" s="18">
        <v>99</v>
      </c>
      <c r="J175" s="18">
        <v>109</v>
      </c>
      <c r="K175" s="42">
        <v>44562</v>
      </c>
      <c r="L175" s="42"/>
      <c r="M175" s="42" t="s">
        <v>273</v>
      </c>
      <c r="N175" s="11"/>
      <c r="O175" s="19" t="s">
        <v>891</v>
      </c>
      <c r="P175" s="7"/>
      <c r="Q175" s="24"/>
      <c r="R175" s="25"/>
      <c r="S175" s="7"/>
      <c r="T175" s="7" t="s">
        <v>603</v>
      </c>
      <c r="U175" s="7" t="s">
        <v>603</v>
      </c>
    </row>
    <row r="176" spans="1:21" x14ac:dyDescent="0.3">
      <c r="A176" s="7" t="s">
        <v>830</v>
      </c>
      <c r="B176" s="7" t="s">
        <v>832</v>
      </c>
      <c r="C176" s="7" t="s">
        <v>831</v>
      </c>
      <c r="D176" s="7" t="s">
        <v>831</v>
      </c>
      <c r="E176" s="18">
        <v>2022</v>
      </c>
      <c r="F176" s="18">
        <v>22</v>
      </c>
      <c r="G176" s="19" t="s">
        <v>14</v>
      </c>
      <c r="H176" s="18">
        <v>58</v>
      </c>
      <c r="I176" s="18" t="s">
        <v>14</v>
      </c>
      <c r="J176" s="18" t="s">
        <v>14</v>
      </c>
      <c r="K176" s="42">
        <v>44574</v>
      </c>
      <c r="L176" s="42"/>
      <c r="M176" s="42" t="s">
        <v>273</v>
      </c>
      <c r="N176" s="11"/>
      <c r="O176" s="19" t="s">
        <v>908</v>
      </c>
      <c r="P176" s="7"/>
      <c r="Q176" s="24"/>
      <c r="R176" s="25"/>
      <c r="S176" s="7"/>
      <c r="T176" s="7" t="s">
        <v>603</v>
      </c>
      <c r="U176" s="7" t="s">
        <v>603</v>
      </c>
    </row>
    <row r="177" spans="1:21" x14ac:dyDescent="0.3">
      <c r="A177" s="7" t="s">
        <v>868</v>
      </c>
      <c r="B177" s="7" t="s">
        <v>869</v>
      </c>
      <c r="C177" s="7" t="s">
        <v>267</v>
      </c>
      <c r="D177" s="7" t="s">
        <v>268</v>
      </c>
      <c r="E177" s="18">
        <v>2022</v>
      </c>
      <c r="F177" s="18">
        <v>80</v>
      </c>
      <c r="G177" s="19" t="s">
        <v>14</v>
      </c>
      <c r="H177" s="18">
        <v>45</v>
      </c>
      <c r="I177" s="18" t="s">
        <v>14</v>
      </c>
      <c r="J177" s="18" t="s">
        <v>14</v>
      </c>
      <c r="K177" s="42">
        <v>44590</v>
      </c>
      <c r="L177" s="42"/>
      <c r="M177" s="42" t="s">
        <v>273</v>
      </c>
      <c r="N177" s="11"/>
      <c r="O177" s="19" t="s">
        <v>914</v>
      </c>
      <c r="P177" s="7"/>
      <c r="Q177" s="24"/>
      <c r="R177" s="25"/>
      <c r="S177" s="7"/>
      <c r="T177" s="7" t="s">
        <v>603</v>
      </c>
      <c r="U177" s="7" t="s">
        <v>603</v>
      </c>
    </row>
    <row r="178" spans="1:21" x14ac:dyDescent="0.3">
      <c r="A178" s="7" t="s">
        <v>837</v>
      </c>
      <c r="B178" s="7" t="s">
        <v>776</v>
      </c>
      <c r="C178" s="7" t="s">
        <v>658</v>
      </c>
      <c r="D178" s="7" t="s">
        <v>659</v>
      </c>
      <c r="E178" s="18">
        <v>2022</v>
      </c>
      <c r="F178" s="18">
        <v>31</v>
      </c>
      <c r="G178" s="19" t="s">
        <v>125</v>
      </c>
      <c r="H178" s="18" t="s">
        <v>14</v>
      </c>
      <c r="I178" s="18">
        <v>527</v>
      </c>
      <c r="J178" s="18">
        <v>537</v>
      </c>
      <c r="K178" s="42">
        <v>44593</v>
      </c>
      <c r="L178" s="42"/>
      <c r="M178" s="42" t="s">
        <v>273</v>
      </c>
      <c r="N178" s="11"/>
      <c r="O178" s="19" t="s">
        <v>843</v>
      </c>
      <c r="P178" s="7"/>
      <c r="Q178" s="24"/>
      <c r="R178" s="25"/>
      <c r="S178" s="7"/>
      <c r="T178" s="7" t="s">
        <v>603</v>
      </c>
      <c r="U178" s="7" t="s">
        <v>603</v>
      </c>
    </row>
    <row r="179" spans="1:21" x14ac:dyDescent="0.3">
      <c r="A179" s="7" t="s">
        <v>729</v>
      </c>
      <c r="B179" s="7" t="s">
        <v>802</v>
      </c>
      <c r="C179" s="7" t="s">
        <v>658</v>
      </c>
      <c r="D179" s="7" t="s">
        <v>659</v>
      </c>
      <c r="E179" s="18">
        <v>2022</v>
      </c>
      <c r="F179" s="18">
        <v>31</v>
      </c>
      <c r="G179" s="19" t="s">
        <v>125</v>
      </c>
      <c r="H179" s="18" t="s">
        <v>14</v>
      </c>
      <c r="I179" s="18">
        <v>551</v>
      </c>
      <c r="J179" s="18">
        <v>565</v>
      </c>
      <c r="K179" s="42">
        <v>44593</v>
      </c>
      <c r="L179" s="42"/>
      <c r="M179" s="42" t="s">
        <v>273</v>
      </c>
      <c r="N179" s="11"/>
      <c r="O179" s="19" t="s">
        <v>849</v>
      </c>
      <c r="P179" s="7"/>
      <c r="Q179" s="24"/>
      <c r="R179" s="25"/>
      <c r="S179" s="7"/>
      <c r="T179" s="7" t="s">
        <v>603</v>
      </c>
      <c r="U179" s="7" t="s">
        <v>603</v>
      </c>
    </row>
    <row r="180" spans="1:21" x14ac:dyDescent="0.3">
      <c r="A180" s="7" t="s">
        <v>1020</v>
      </c>
      <c r="B180" s="7" t="s">
        <v>1021</v>
      </c>
      <c r="C180" s="7" t="s">
        <v>575</v>
      </c>
      <c r="D180" s="7" t="s">
        <v>576</v>
      </c>
      <c r="E180" s="18">
        <v>2022</v>
      </c>
      <c r="F180" s="18">
        <v>37</v>
      </c>
      <c r="G180" s="19" t="s">
        <v>125</v>
      </c>
      <c r="H180" s="18" t="s">
        <v>14</v>
      </c>
      <c r="I180" s="18">
        <v>215</v>
      </c>
      <c r="J180" s="18">
        <v>216</v>
      </c>
      <c r="K180" s="42">
        <v>44593</v>
      </c>
      <c r="L180" s="42"/>
      <c r="M180" s="42" t="s">
        <v>273</v>
      </c>
      <c r="N180" s="11"/>
      <c r="O180" s="19" t="s">
        <v>1022</v>
      </c>
      <c r="P180" s="7"/>
      <c r="Q180" s="24"/>
      <c r="R180" s="25"/>
      <c r="S180" s="7"/>
      <c r="T180" s="7" t="s">
        <v>603</v>
      </c>
      <c r="U180" s="7" t="s">
        <v>603</v>
      </c>
    </row>
    <row r="181" spans="1:21" x14ac:dyDescent="0.3">
      <c r="A181" s="7" t="s">
        <v>846</v>
      </c>
      <c r="B181" s="7" t="s">
        <v>847</v>
      </c>
      <c r="C181" s="7" t="s">
        <v>373</v>
      </c>
      <c r="D181" s="7" t="s">
        <v>374</v>
      </c>
      <c r="E181" s="18">
        <v>2022</v>
      </c>
      <c r="F181" s="18">
        <v>12</v>
      </c>
      <c r="G181" s="19" t="s">
        <v>14</v>
      </c>
      <c r="H181" s="18">
        <v>2454</v>
      </c>
      <c r="I181" s="18" t="s">
        <v>14</v>
      </c>
      <c r="J181" s="18" t="s">
        <v>14</v>
      </c>
      <c r="K181" s="42">
        <v>44606</v>
      </c>
      <c r="L181" s="42"/>
      <c r="M181" s="42" t="s">
        <v>273</v>
      </c>
      <c r="N181" s="11"/>
      <c r="O181" s="19" t="s">
        <v>919</v>
      </c>
      <c r="P181" s="7"/>
      <c r="Q181" s="24"/>
      <c r="R181" s="25"/>
      <c r="S181" s="7"/>
      <c r="T181" s="7" t="s">
        <v>603</v>
      </c>
      <c r="U181" s="7" t="s">
        <v>603</v>
      </c>
    </row>
    <row r="182" spans="1:21" x14ac:dyDescent="0.3">
      <c r="A182" s="7" t="s">
        <v>707</v>
      </c>
      <c r="B182" s="7" t="s">
        <v>708</v>
      </c>
      <c r="C182" s="7" t="s">
        <v>338</v>
      </c>
      <c r="D182" s="7" t="s">
        <v>339</v>
      </c>
      <c r="E182" s="18">
        <v>2022</v>
      </c>
      <c r="F182" s="18">
        <v>27</v>
      </c>
      <c r="G182" s="19" t="s">
        <v>153</v>
      </c>
      <c r="H182" s="18" t="s">
        <v>921</v>
      </c>
      <c r="I182" s="18" t="s">
        <v>14</v>
      </c>
      <c r="J182" s="18" t="s">
        <v>14</v>
      </c>
      <c r="K182" s="42">
        <v>44609</v>
      </c>
      <c r="L182" s="42"/>
      <c r="M182" s="42" t="s">
        <v>273</v>
      </c>
      <c r="N182" s="11"/>
      <c r="O182" s="19" t="s">
        <v>920</v>
      </c>
      <c r="P182" s="7"/>
      <c r="Q182" s="24"/>
      <c r="R182" s="25"/>
      <c r="S182" s="7"/>
      <c r="T182" s="7" t="s">
        <v>603</v>
      </c>
      <c r="U182" s="7" t="s">
        <v>603</v>
      </c>
    </row>
    <row r="183" spans="1:21" x14ac:dyDescent="0.3">
      <c r="A183" s="7" t="s">
        <v>906</v>
      </c>
      <c r="B183" s="7" t="s">
        <v>907</v>
      </c>
      <c r="C183" s="7" t="s">
        <v>267</v>
      </c>
      <c r="D183" s="7" t="s">
        <v>268</v>
      </c>
      <c r="E183" s="18">
        <v>2022</v>
      </c>
      <c r="F183" s="18">
        <v>80</v>
      </c>
      <c r="G183" s="19" t="s">
        <v>14</v>
      </c>
      <c r="H183" s="18">
        <v>58</v>
      </c>
      <c r="I183" s="18" t="s">
        <v>14</v>
      </c>
      <c r="J183" s="18" t="s">
        <v>14</v>
      </c>
      <c r="K183" s="42">
        <v>44610</v>
      </c>
      <c r="L183" s="42"/>
      <c r="M183" s="42" t="s">
        <v>273</v>
      </c>
      <c r="N183" s="11"/>
      <c r="O183" s="19" t="s">
        <v>918</v>
      </c>
      <c r="P183" s="7"/>
      <c r="Q183" s="24"/>
      <c r="R183" s="25"/>
      <c r="S183" s="7"/>
      <c r="T183" s="7" t="s">
        <v>603</v>
      </c>
      <c r="U183" s="7" t="s">
        <v>603</v>
      </c>
    </row>
    <row r="184" spans="1:21" x14ac:dyDescent="0.3">
      <c r="A184" s="7" t="s">
        <v>917</v>
      </c>
      <c r="B184" s="7" t="s">
        <v>855</v>
      </c>
      <c r="C184" s="7" t="s">
        <v>509</v>
      </c>
      <c r="D184" s="7" t="s">
        <v>510</v>
      </c>
      <c r="E184" s="18">
        <v>2022</v>
      </c>
      <c r="F184" s="18">
        <v>150</v>
      </c>
      <c r="G184" s="19" t="s">
        <v>14</v>
      </c>
      <c r="H184" s="18" t="s">
        <v>935</v>
      </c>
      <c r="I184" s="18" t="s">
        <v>14</v>
      </c>
      <c r="J184" s="18" t="s">
        <v>14</v>
      </c>
      <c r="K184" s="42">
        <v>44622</v>
      </c>
      <c r="L184" s="42"/>
      <c r="M184" s="42" t="s">
        <v>273</v>
      </c>
      <c r="N184" s="11"/>
      <c r="O184" s="19" t="s">
        <v>927</v>
      </c>
      <c r="P184" s="7"/>
      <c r="Q184" s="24"/>
      <c r="R184" s="25"/>
      <c r="S184" s="7"/>
      <c r="T184" s="7" t="s">
        <v>603</v>
      </c>
      <c r="U184" s="7" t="s">
        <v>603</v>
      </c>
    </row>
    <row r="185" spans="1:21" x14ac:dyDescent="0.3">
      <c r="A185" s="7" t="s">
        <v>800</v>
      </c>
      <c r="B185" s="7" t="s">
        <v>801</v>
      </c>
      <c r="C185" s="7" t="s">
        <v>267</v>
      </c>
      <c r="D185" s="7" t="s">
        <v>268</v>
      </c>
      <c r="E185" s="18">
        <v>2022</v>
      </c>
      <c r="F185" s="18">
        <v>80</v>
      </c>
      <c r="G185" s="19" t="s">
        <v>14</v>
      </c>
      <c r="H185" s="18">
        <v>105</v>
      </c>
      <c r="I185" s="18" t="s">
        <v>14</v>
      </c>
      <c r="J185" s="18" t="s">
        <v>14</v>
      </c>
      <c r="K185" s="42">
        <v>44652</v>
      </c>
      <c r="L185" s="42"/>
      <c r="M185" s="42" t="s">
        <v>273</v>
      </c>
      <c r="N185" s="11"/>
      <c r="O185" s="19" t="s">
        <v>932</v>
      </c>
      <c r="P185" s="7"/>
      <c r="Q185" s="24"/>
      <c r="R185" s="25"/>
      <c r="S185" s="7"/>
      <c r="T185" s="7" t="s">
        <v>603</v>
      </c>
      <c r="U185" s="7" t="s">
        <v>603</v>
      </c>
    </row>
    <row r="186" spans="1:21" x14ac:dyDescent="0.3">
      <c r="A186" s="7" t="s">
        <v>822</v>
      </c>
      <c r="B186" s="7" t="s">
        <v>823</v>
      </c>
      <c r="C186" s="7" t="s">
        <v>287</v>
      </c>
      <c r="D186" s="7" t="s">
        <v>330</v>
      </c>
      <c r="E186" s="18">
        <v>2022</v>
      </c>
      <c r="F186" s="18">
        <v>32</v>
      </c>
      <c r="G186" s="19" t="s">
        <v>125</v>
      </c>
      <c r="H186" s="18" t="s">
        <v>14</v>
      </c>
      <c r="I186" s="18">
        <v>289</v>
      </c>
      <c r="J186" s="18">
        <v>296</v>
      </c>
      <c r="K186" s="42">
        <v>44652</v>
      </c>
      <c r="L186" s="42"/>
      <c r="M186" s="42" t="s">
        <v>273</v>
      </c>
      <c r="N186" s="11"/>
      <c r="O186" s="19" t="s">
        <v>905</v>
      </c>
      <c r="P186" s="7"/>
      <c r="Q186" s="24"/>
      <c r="R186" s="25"/>
      <c r="S186" s="7"/>
      <c r="T186" s="7" t="s">
        <v>603</v>
      </c>
      <c r="U186" s="7" t="s">
        <v>603</v>
      </c>
    </row>
    <row r="187" spans="1:21" x14ac:dyDescent="0.3">
      <c r="A187" s="7" t="s">
        <v>889</v>
      </c>
      <c r="B187" s="7" t="s">
        <v>890</v>
      </c>
      <c r="C187" s="7" t="s">
        <v>267</v>
      </c>
      <c r="D187" s="7" t="s">
        <v>268</v>
      </c>
      <c r="E187" s="18">
        <v>2022</v>
      </c>
      <c r="F187" s="18">
        <v>80</v>
      </c>
      <c r="G187" s="19" t="s">
        <v>14</v>
      </c>
      <c r="H187" s="18">
        <v>109</v>
      </c>
      <c r="I187" s="18" t="s">
        <v>14</v>
      </c>
      <c r="J187" s="18" t="s">
        <v>14</v>
      </c>
      <c r="K187" s="42">
        <v>44653</v>
      </c>
      <c r="L187" s="42"/>
      <c r="M187" s="42" t="s">
        <v>273</v>
      </c>
      <c r="N187" s="11"/>
      <c r="O187" s="19" t="s">
        <v>934</v>
      </c>
      <c r="P187" s="7"/>
      <c r="Q187" s="24"/>
      <c r="R187" s="25"/>
      <c r="S187" s="7"/>
      <c r="T187" s="7" t="s">
        <v>603</v>
      </c>
      <c r="U187" s="7" t="s">
        <v>603</v>
      </c>
    </row>
    <row r="188" spans="1:21" x14ac:dyDescent="0.3">
      <c r="A188" s="7" t="s">
        <v>865</v>
      </c>
      <c r="B188" s="7" t="s">
        <v>866</v>
      </c>
      <c r="C188" s="7" t="s">
        <v>267</v>
      </c>
      <c r="D188" s="7" t="s">
        <v>268</v>
      </c>
      <c r="E188" s="18">
        <v>2022</v>
      </c>
      <c r="F188" s="18">
        <v>148</v>
      </c>
      <c r="G188" s="19" t="s">
        <v>14</v>
      </c>
      <c r="H188" s="18">
        <v>80</v>
      </c>
      <c r="I188" s="18" t="s">
        <v>14</v>
      </c>
      <c r="J188" s="18" t="s">
        <v>14</v>
      </c>
      <c r="K188" s="42">
        <v>44708</v>
      </c>
      <c r="L188" s="42"/>
      <c r="M188" s="42" t="s">
        <v>273</v>
      </c>
      <c r="N188" s="11"/>
      <c r="O188" s="19" t="s">
        <v>944</v>
      </c>
      <c r="P188" s="7"/>
      <c r="Q188" s="24"/>
      <c r="R188" s="25"/>
      <c r="S188" s="7"/>
      <c r="T188" s="7" t="s">
        <v>603</v>
      </c>
      <c r="U188" s="7" t="s">
        <v>603</v>
      </c>
    </row>
    <row r="189" spans="1:21" x14ac:dyDescent="0.3">
      <c r="A189" s="7" t="s">
        <v>896</v>
      </c>
      <c r="B189" s="7" t="s">
        <v>950</v>
      </c>
      <c r="C189" s="7" t="s">
        <v>12</v>
      </c>
      <c r="D189" s="7" t="s">
        <v>13</v>
      </c>
      <c r="E189" s="18">
        <v>2022</v>
      </c>
      <c r="F189" s="18">
        <v>67</v>
      </c>
      <c r="G189" s="19" t="s">
        <v>14</v>
      </c>
      <c r="H189" s="18">
        <v>1604699</v>
      </c>
      <c r="I189" s="18" t="s">
        <v>14</v>
      </c>
      <c r="J189" s="18" t="s">
        <v>14</v>
      </c>
      <c r="K189" s="42">
        <v>44714</v>
      </c>
      <c r="L189" s="42"/>
      <c r="M189" s="42" t="s">
        <v>273</v>
      </c>
      <c r="N189" s="11"/>
      <c r="O189" s="19" t="s">
        <v>951</v>
      </c>
      <c r="P189" s="7"/>
      <c r="Q189" s="24"/>
      <c r="R189" s="25"/>
      <c r="S189" s="7"/>
      <c r="T189" s="7" t="s">
        <v>603</v>
      </c>
      <c r="U189" s="7" t="s">
        <v>603</v>
      </c>
    </row>
    <row r="190" spans="1:21" x14ac:dyDescent="0.3">
      <c r="A190" s="7" t="s">
        <v>952</v>
      </c>
      <c r="B190" s="7" t="s">
        <v>953</v>
      </c>
      <c r="C190" s="7" t="s">
        <v>954</v>
      </c>
      <c r="D190" s="7" t="s">
        <v>955</v>
      </c>
      <c r="E190" s="18">
        <v>2022</v>
      </c>
      <c r="F190" s="18">
        <v>10</v>
      </c>
      <c r="G190" s="19" t="s">
        <v>14</v>
      </c>
      <c r="H190" s="18">
        <v>907012</v>
      </c>
      <c r="I190" s="18" t="s">
        <v>14</v>
      </c>
      <c r="J190" s="18" t="s">
        <v>14</v>
      </c>
      <c r="K190" s="42">
        <v>44715</v>
      </c>
      <c r="L190" s="42"/>
      <c r="M190" s="42" t="s">
        <v>273</v>
      </c>
      <c r="N190" s="11"/>
      <c r="O190" s="19" t="s">
        <v>956</v>
      </c>
      <c r="P190" s="7"/>
      <c r="Q190" s="24"/>
      <c r="R190" s="25"/>
      <c r="S190" s="7"/>
      <c r="T190" s="7" t="s">
        <v>603</v>
      </c>
      <c r="U190" s="7" t="s">
        <v>603</v>
      </c>
    </row>
    <row r="191" spans="1:21" x14ac:dyDescent="0.3">
      <c r="A191" s="7" t="s">
        <v>922</v>
      </c>
      <c r="B191" s="7" t="s">
        <v>923</v>
      </c>
      <c r="C191" s="7" t="s">
        <v>511</v>
      </c>
      <c r="D191" s="7" t="s">
        <v>512</v>
      </c>
      <c r="E191" s="18">
        <v>2022</v>
      </c>
      <c r="F191" s="18">
        <v>210</v>
      </c>
      <c r="G191" s="19" t="s">
        <v>14</v>
      </c>
      <c r="H191" s="18">
        <v>113014</v>
      </c>
      <c r="I191" s="18" t="s">
        <v>14</v>
      </c>
      <c r="J191" s="18" t="s">
        <v>14</v>
      </c>
      <c r="K191" s="42">
        <v>44743</v>
      </c>
      <c r="L191" s="42"/>
      <c r="M191" s="42" t="s">
        <v>273</v>
      </c>
      <c r="N191" s="11"/>
      <c r="O191" s="19" t="s">
        <v>924</v>
      </c>
      <c r="P191" s="7"/>
      <c r="Q191" s="24"/>
      <c r="R191" s="25"/>
      <c r="S191" s="7"/>
      <c r="T191" s="7" t="s">
        <v>603</v>
      </c>
      <c r="U191" s="7" t="s">
        <v>603</v>
      </c>
    </row>
    <row r="192" spans="1:21" x14ac:dyDescent="0.3">
      <c r="A192" s="7" t="s">
        <v>875</v>
      </c>
      <c r="B192" s="7" t="s">
        <v>876</v>
      </c>
      <c r="C192" s="7" t="s">
        <v>873</v>
      </c>
      <c r="D192" s="7" t="s">
        <v>877</v>
      </c>
      <c r="E192" s="18">
        <v>2022</v>
      </c>
      <c r="F192" s="18">
        <v>11</v>
      </c>
      <c r="G192" s="19" t="s">
        <v>101</v>
      </c>
      <c r="H192" s="18">
        <v>138</v>
      </c>
      <c r="I192" s="18" t="s">
        <v>14</v>
      </c>
      <c r="J192" s="18" t="s">
        <v>14</v>
      </c>
      <c r="K192" s="42">
        <v>44747</v>
      </c>
      <c r="L192" s="42"/>
      <c r="M192" s="42" t="s">
        <v>273</v>
      </c>
      <c r="N192" s="11"/>
      <c r="O192" s="19" t="s">
        <v>964</v>
      </c>
      <c r="P192" s="7"/>
      <c r="Q192" s="24"/>
      <c r="R192" s="25"/>
      <c r="S192" s="7"/>
      <c r="T192" s="7" t="s">
        <v>603</v>
      </c>
      <c r="U192" s="7" t="s">
        <v>603</v>
      </c>
    </row>
    <row r="193" spans="1:21" x14ac:dyDescent="0.3">
      <c r="A193" s="7" t="s">
        <v>928</v>
      </c>
      <c r="B193" s="7" t="s">
        <v>929</v>
      </c>
      <c r="C193" s="7" t="s">
        <v>160</v>
      </c>
      <c r="D193" s="7" t="s">
        <v>161</v>
      </c>
      <c r="E193" s="18">
        <v>2022</v>
      </c>
      <c r="F193" s="18">
        <v>16</v>
      </c>
      <c r="G193" s="19" t="s">
        <v>153</v>
      </c>
      <c r="H193" s="18" t="s">
        <v>965</v>
      </c>
      <c r="I193" s="18" t="s">
        <v>14</v>
      </c>
      <c r="J193" s="18" t="s">
        <v>14</v>
      </c>
      <c r="K193" s="42">
        <v>44748</v>
      </c>
      <c r="L193" s="42"/>
      <c r="M193" s="42" t="s">
        <v>273</v>
      </c>
      <c r="N193" s="11"/>
      <c r="O193" s="19" t="s">
        <v>961</v>
      </c>
      <c r="P193" s="7"/>
      <c r="Q193" s="24"/>
      <c r="R193" s="25"/>
      <c r="S193" s="7"/>
      <c r="T193" s="7" t="s">
        <v>603</v>
      </c>
      <c r="U193" s="7" t="s">
        <v>603</v>
      </c>
    </row>
    <row r="194" spans="1:21" x14ac:dyDescent="0.3">
      <c r="A194" s="7" t="s">
        <v>844</v>
      </c>
      <c r="B194" s="7" t="s">
        <v>845</v>
      </c>
      <c r="C194" s="7" t="s">
        <v>89</v>
      </c>
      <c r="D194" s="7" t="s">
        <v>89</v>
      </c>
      <c r="E194" s="18">
        <v>2022</v>
      </c>
      <c r="F194" s="18">
        <v>22</v>
      </c>
      <c r="G194" s="19" t="s">
        <v>101</v>
      </c>
      <c r="H194" s="18">
        <v>1304</v>
      </c>
      <c r="I194" s="18" t="s">
        <v>14</v>
      </c>
      <c r="J194" s="18" t="s">
        <v>14</v>
      </c>
      <c r="K194" s="42">
        <v>44749</v>
      </c>
      <c r="L194" s="42"/>
      <c r="M194" s="42" t="s">
        <v>273</v>
      </c>
      <c r="N194" s="11"/>
      <c r="O194" s="19" t="s">
        <v>963</v>
      </c>
      <c r="P194" s="7"/>
      <c r="Q194" s="24"/>
      <c r="R194" s="25"/>
      <c r="S194" s="7"/>
      <c r="T194" s="7" t="s">
        <v>603</v>
      </c>
      <c r="U194" s="7" t="s">
        <v>603</v>
      </c>
    </row>
    <row r="195" spans="1:21" x14ac:dyDescent="0.3">
      <c r="A195" s="7" t="s">
        <v>911</v>
      </c>
      <c r="B195" s="7" t="s">
        <v>912</v>
      </c>
      <c r="C195" s="7" t="s">
        <v>89</v>
      </c>
      <c r="D195" s="7" t="s">
        <v>89</v>
      </c>
      <c r="E195" s="18">
        <v>2022</v>
      </c>
      <c r="F195" s="18">
        <v>22</v>
      </c>
      <c r="G195" s="19" t="s">
        <v>101</v>
      </c>
      <c r="H195" s="18">
        <v>1309</v>
      </c>
      <c r="I195" s="18" t="s">
        <v>14</v>
      </c>
      <c r="J195" s="18" t="s">
        <v>14</v>
      </c>
      <c r="K195" s="42">
        <v>44749</v>
      </c>
      <c r="L195" s="42"/>
      <c r="M195" s="42" t="s">
        <v>273</v>
      </c>
      <c r="N195" s="11"/>
      <c r="O195" s="19" t="s">
        <v>962</v>
      </c>
      <c r="P195" s="7"/>
      <c r="Q195" s="24"/>
      <c r="R195" s="25"/>
      <c r="S195" s="7"/>
      <c r="T195" s="7" t="s">
        <v>603</v>
      </c>
      <c r="U195" s="7" t="s">
        <v>603</v>
      </c>
    </row>
    <row r="196" spans="1:21" x14ac:dyDescent="0.3">
      <c r="A196" s="7" t="s">
        <v>940</v>
      </c>
      <c r="B196" s="7" t="s">
        <v>941</v>
      </c>
      <c r="C196" s="7" t="s">
        <v>267</v>
      </c>
      <c r="D196" s="7" t="s">
        <v>268</v>
      </c>
      <c r="E196" s="18">
        <v>2022</v>
      </c>
      <c r="F196" s="18">
        <v>80</v>
      </c>
      <c r="G196" s="19" t="s">
        <v>14</v>
      </c>
      <c r="H196" s="18">
        <v>188</v>
      </c>
      <c r="I196" s="18" t="s">
        <v>14</v>
      </c>
      <c r="J196" s="18" t="s">
        <v>14</v>
      </c>
      <c r="K196" s="42">
        <v>44784</v>
      </c>
      <c r="L196" s="42"/>
      <c r="M196" s="42" t="s">
        <v>273</v>
      </c>
      <c r="N196" s="11"/>
      <c r="O196" s="19" t="s">
        <v>909</v>
      </c>
      <c r="P196" s="7"/>
      <c r="Q196" s="24"/>
      <c r="R196" s="25"/>
      <c r="S196" s="7"/>
      <c r="T196" s="7" t="s">
        <v>603</v>
      </c>
      <c r="U196" s="7" t="s">
        <v>603</v>
      </c>
    </row>
    <row r="197" spans="1:21" x14ac:dyDescent="0.3">
      <c r="A197" s="7" t="s">
        <v>892</v>
      </c>
      <c r="B197" s="7" t="s">
        <v>893</v>
      </c>
      <c r="C197" s="7" t="s">
        <v>89</v>
      </c>
      <c r="D197" s="7" t="s">
        <v>89</v>
      </c>
      <c r="E197" s="18">
        <v>2022</v>
      </c>
      <c r="F197" s="18">
        <v>22</v>
      </c>
      <c r="G197" s="19" t="s">
        <v>14</v>
      </c>
      <c r="H197" s="18">
        <v>1564</v>
      </c>
      <c r="I197" s="18" t="s">
        <v>14</v>
      </c>
      <c r="J197" s="18" t="s">
        <v>14</v>
      </c>
      <c r="K197" s="42">
        <v>44790</v>
      </c>
      <c r="L197" s="42"/>
      <c r="M197" s="42" t="s">
        <v>273</v>
      </c>
      <c r="N197" s="11"/>
      <c r="O197" s="19" t="s">
        <v>973</v>
      </c>
      <c r="P197" s="7"/>
      <c r="Q197" s="24"/>
      <c r="R197" s="25"/>
      <c r="S197" s="7"/>
      <c r="T197" s="7" t="s">
        <v>603</v>
      </c>
      <c r="U197" s="7" t="s">
        <v>603</v>
      </c>
    </row>
    <row r="198" spans="1:21" x14ac:dyDescent="0.3">
      <c r="A198" s="7" t="s">
        <v>974</v>
      </c>
      <c r="B198" s="7" t="s">
        <v>978</v>
      </c>
      <c r="C198" s="7" t="s">
        <v>975</v>
      </c>
      <c r="D198" s="7" t="s">
        <v>976</v>
      </c>
      <c r="E198" s="18">
        <v>2022</v>
      </c>
      <c r="F198" s="18">
        <v>19</v>
      </c>
      <c r="G198" s="19" t="s">
        <v>14</v>
      </c>
      <c r="H198" s="18">
        <v>220062</v>
      </c>
      <c r="I198" s="18" t="s">
        <v>14</v>
      </c>
      <c r="J198" s="18" t="s">
        <v>14</v>
      </c>
      <c r="K198" s="42">
        <v>44791</v>
      </c>
      <c r="L198" s="42"/>
      <c r="M198" s="42" t="s">
        <v>273</v>
      </c>
      <c r="N198" s="11"/>
      <c r="O198" s="19" t="s">
        <v>977</v>
      </c>
      <c r="P198" s="7"/>
      <c r="Q198" s="24"/>
      <c r="R198" s="25"/>
      <c r="S198" s="7"/>
      <c r="T198" s="7" t="s">
        <v>603</v>
      </c>
      <c r="U198" s="7" t="s">
        <v>603</v>
      </c>
    </row>
    <row r="199" spans="1:21" x14ac:dyDescent="0.3">
      <c r="A199" s="7" t="s">
        <v>850</v>
      </c>
      <c r="B199" s="7" t="s">
        <v>851</v>
      </c>
      <c r="C199" s="7" t="s">
        <v>89</v>
      </c>
      <c r="D199" s="7" t="s">
        <v>89</v>
      </c>
      <c r="E199" s="18">
        <v>2022</v>
      </c>
      <c r="F199" s="18">
        <v>22</v>
      </c>
      <c r="G199" s="19" t="s">
        <v>14</v>
      </c>
      <c r="H199" s="18">
        <v>1693</v>
      </c>
      <c r="I199" s="18" t="s">
        <v>14</v>
      </c>
      <c r="J199" s="18" t="s">
        <v>14</v>
      </c>
      <c r="K199" s="42">
        <v>44810</v>
      </c>
      <c r="L199" s="42"/>
      <c r="M199" s="42" t="s">
        <v>273</v>
      </c>
      <c r="N199" s="11"/>
      <c r="O199" s="19" t="s">
        <v>982</v>
      </c>
      <c r="P199" s="7"/>
      <c r="Q199" s="24"/>
      <c r="R199" s="25"/>
      <c r="S199" s="7"/>
      <c r="T199" s="7" t="s">
        <v>603</v>
      </c>
      <c r="U199" s="7" t="s">
        <v>603</v>
      </c>
    </row>
    <row r="200" spans="1:21" x14ac:dyDescent="0.3">
      <c r="A200" s="7" t="s">
        <v>915</v>
      </c>
      <c r="B200" s="7" t="s">
        <v>916</v>
      </c>
      <c r="C200" s="7" t="s">
        <v>89</v>
      </c>
      <c r="D200" s="7" t="s">
        <v>89</v>
      </c>
      <c r="E200" s="18">
        <v>2022</v>
      </c>
      <c r="F200" s="18">
        <v>22</v>
      </c>
      <c r="G200" s="19" t="s">
        <v>14</v>
      </c>
      <c r="H200" s="18">
        <v>1699</v>
      </c>
      <c r="I200" s="18" t="s">
        <v>14</v>
      </c>
      <c r="J200" s="18" t="s">
        <v>14</v>
      </c>
      <c r="K200" s="42">
        <v>44811</v>
      </c>
      <c r="L200" s="42"/>
      <c r="M200" s="42" t="s">
        <v>273</v>
      </c>
      <c r="N200" s="11"/>
      <c r="O200" s="19" t="s">
        <v>983</v>
      </c>
      <c r="P200" s="7"/>
      <c r="Q200" s="24"/>
      <c r="R200" s="25"/>
      <c r="S200" s="7"/>
      <c r="T200" s="7" t="s">
        <v>603</v>
      </c>
      <c r="U200" s="7" t="s">
        <v>603</v>
      </c>
    </row>
    <row r="201" spans="1:21" x14ac:dyDescent="0.3">
      <c r="A201" s="7" t="s">
        <v>863</v>
      </c>
      <c r="B201" s="7" t="s">
        <v>864</v>
      </c>
      <c r="C201" s="7" t="s">
        <v>252</v>
      </c>
      <c r="D201" s="7" t="s">
        <v>344</v>
      </c>
      <c r="E201" s="18">
        <v>2022</v>
      </c>
      <c r="F201" s="18">
        <v>22</v>
      </c>
      <c r="G201" s="19" t="s">
        <v>14</v>
      </c>
      <c r="H201" s="18">
        <v>756</v>
      </c>
      <c r="I201" s="18" t="s">
        <v>14</v>
      </c>
      <c r="J201" s="18" t="s">
        <v>14</v>
      </c>
      <c r="K201" s="42">
        <v>44832</v>
      </c>
      <c r="L201" s="42"/>
      <c r="M201" s="42" t="s">
        <v>273</v>
      </c>
      <c r="N201" s="11"/>
      <c r="O201" s="19" t="s">
        <v>990</v>
      </c>
      <c r="P201" s="7"/>
      <c r="Q201" s="24"/>
      <c r="R201" s="25"/>
      <c r="S201" s="7"/>
      <c r="T201" s="7" t="s">
        <v>603</v>
      </c>
      <c r="U201" s="7" t="s">
        <v>603</v>
      </c>
    </row>
    <row r="202" spans="1:21" x14ac:dyDescent="0.3">
      <c r="A202" s="7" t="s">
        <v>872</v>
      </c>
      <c r="B202" s="7" t="s">
        <v>874</v>
      </c>
      <c r="C202" s="7" t="s">
        <v>267</v>
      </c>
      <c r="D202" s="7" t="s">
        <v>268</v>
      </c>
      <c r="E202" s="18">
        <v>2022</v>
      </c>
      <c r="F202" s="18">
        <v>80</v>
      </c>
      <c r="G202" s="19" t="s">
        <v>14</v>
      </c>
      <c r="H202" s="18">
        <v>222</v>
      </c>
      <c r="I202" s="18" t="s">
        <v>14</v>
      </c>
      <c r="J202" s="18" t="s">
        <v>14</v>
      </c>
      <c r="K202" s="42">
        <v>44852</v>
      </c>
      <c r="L202" s="42"/>
      <c r="M202" s="42" t="s">
        <v>273</v>
      </c>
      <c r="N202" s="11"/>
      <c r="O202" s="19" t="s">
        <v>998</v>
      </c>
      <c r="P202" s="7"/>
      <c r="Q202" s="24"/>
      <c r="R202" s="25"/>
      <c r="S202" s="7"/>
      <c r="T202" s="7" t="s">
        <v>603</v>
      </c>
      <c r="U202" s="7" t="s">
        <v>603</v>
      </c>
    </row>
    <row r="203" spans="1:21" x14ac:dyDescent="0.3">
      <c r="A203" s="7" t="s">
        <v>966</v>
      </c>
      <c r="B203" s="7" t="s">
        <v>967</v>
      </c>
      <c r="C203" s="7" t="s">
        <v>1003</v>
      </c>
      <c r="D203" s="7" t="s">
        <v>1002</v>
      </c>
      <c r="E203" s="18">
        <v>2022</v>
      </c>
      <c r="F203" s="18">
        <v>6</v>
      </c>
      <c r="G203" s="19" t="s">
        <v>14</v>
      </c>
      <c r="H203" s="18">
        <v>1024560</v>
      </c>
      <c r="I203" s="18" t="s">
        <v>14</v>
      </c>
      <c r="J203" s="18" t="s">
        <v>14</v>
      </c>
      <c r="K203" s="42">
        <v>44866</v>
      </c>
      <c r="L203" s="42"/>
      <c r="M203" s="42" t="s">
        <v>273</v>
      </c>
      <c r="N203" s="11"/>
      <c r="O203" s="19" t="s">
        <v>1001</v>
      </c>
      <c r="P203" s="7"/>
      <c r="Q203" s="24"/>
      <c r="R203" s="25"/>
      <c r="S203" s="7"/>
      <c r="T203" s="7" t="s">
        <v>603</v>
      </c>
      <c r="U203" s="7" t="s">
        <v>603</v>
      </c>
    </row>
    <row r="204" spans="1:21" x14ac:dyDescent="0.3">
      <c r="A204" s="7" t="s">
        <v>894</v>
      </c>
      <c r="B204" s="7" t="s">
        <v>895</v>
      </c>
      <c r="C204" s="7" t="s">
        <v>252</v>
      </c>
      <c r="D204" s="7" t="s">
        <v>344</v>
      </c>
      <c r="E204" s="18">
        <v>2022</v>
      </c>
      <c r="F204" s="18">
        <v>22</v>
      </c>
      <c r="G204" s="19" t="s">
        <v>14</v>
      </c>
      <c r="H204" s="18">
        <v>851</v>
      </c>
      <c r="I204" s="18" t="s">
        <v>14</v>
      </c>
      <c r="J204" s="18" t="s">
        <v>14</v>
      </c>
      <c r="K204" s="42">
        <v>44879</v>
      </c>
      <c r="L204" s="42"/>
      <c r="M204" s="42" t="s">
        <v>273</v>
      </c>
      <c r="N204" s="11"/>
      <c r="O204" s="19" t="s">
        <v>1005</v>
      </c>
      <c r="P204" s="7"/>
      <c r="Q204" s="24"/>
      <c r="R204" s="25"/>
      <c r="S204" s="7"/>
      <c r="T204" s="7" t="s">
        <v>603</v>
      </c>
      <c r="U204" s="7" t="s">
        <v>603</v>
      </c>
    </row>
    <row r="205" spans="1:21" x14ac:dyDescent="0.3">
      <c r="A205" s="7" t="s">
        <v>1009</v>
      </c>
      <c r="B205" s="7" t="s">
        <v>933</v>
      </c>
      <c r="C205" s="7" t="s">
        <v>723</v>
      </c>
      <c r="D205" s="7" t="s">
        <v>723</v>
      </c>
      <c r="E205" s="18">
        <v>2022</v>
      </c>
      <c r="F205" s="18">
        <v>12</v>
      </c>
      <c r="G205" s="19" t="s">
        <v>69</v>
      </c>
      <c r="H205" s="18" t="s">
        <v>1007</v>
      </c>
      <c r="I205" s="18" t="s">
        <v>14</v>
      </c>
      <c r="J205" s="18" t="s">
        <v>14</v>
      </c>
      <c r="K205" s="42">
        <v>44887</v>
      </c>
      <c r="L205" s="42"/>
      <c r="M205" s="42" t="s">
        <v>273</v>
      </c>
      <c r="N205" s="11"/>
      <c r="O205" s="19" t="s">
        <v>1008</v>
      </c>
      <c r="P205" s="7"/>
      <c r="Q205" s="24"/>
      <c r="R205" s="25"/>
      <c r="S205" s="7"/>
      <c r="T205" s="7" t="s">
        <v>603</v>
      </c>
      <c r="U205" s="7" t="s">
        <v>603</v>
      </c>
    </row>
    <row r="206" spans="1:21" x14ac:dyDescent="0.3">
      <c r="A206" s="7" t="s">
        <v>910</v>
      </c>
      <c r="B206" s="7" t="s">
        <v>913</v>
      </c>
      <c r="C206" s="7" t="s">
        <v>89</v>
      </c>
      <c r="D206" s="7" t="s">
        <v>89</v>
      </c>
      <c r="E206" s="18">
        <v>2022</v>
      </c>
      <c r="F206" s="18">
        <v>22</v>
      </c>
      <c r="G206" s="19" t="s">
        <v>101</v>
      </c>
      <c r="H206" s="18">
        <v>2194</v>
      </c>
      <c r="I206" s="18" t="s">
        <v>14</v>
      </c>
      <c r="J206" s="18" t="s">
        <v>14</v>
      </c>
      <c r="K206" s="42">
        <v>44893</v>
      </c>
      <c r="L206" s="42"/>
      <c r="M206" s="42" t="s">
        <v>273</v>
      </c>
      <c r="N206" s="11"/>
      <c r="O206" s="19" t="s">
        <v>1012</v>
      </c>
      <c r="P206" s="7"/>
      <c r="Q206" s="24"/>
      <c r="R206" s="25"/>
      <c r="S206" s="7"/>
      <c r="T206" s="7" t="s">
        <v>603</v>
      </c>
      <c r="U206" s="7" t="s">
        <v>603</v>
      </c>
    </row>
    <row r="207" spans="1:21" x14ac:dyDescent="0.3">
      <c r="A207" s="7" t="s">
        <v>936</v>
      </c>
      <c r="B207" s="7" t="s">
        <v>937</v>
      </c>
      <c r="C207" s="7" t="s">
        <v>267</v>
      </c>
      <c r="D207" s="7" t="s">
        <v>268</v>
      </c>
      <c r="E207" s="18">
        <v>2022</v>
      </c>
      <c r="F207" s="18">
        <v>80</v>
      </c>
      <c r="G207" s="19" t="s">
        <v>14</v>
      </c>
      <c r="H207" s="18">
        <v>254</v>
      </c>
      <c r="I207" s="18" t="s">
        <v>14</v>
      </c>
      <c r="J207" s="18" t="s">
        <v>14</v>
      </c>
      <c r="K207" s="42">
        <v>44893</v>
      </c>
      <c r="L207" s="42"/>
      <c r="M207" s="42" t="s">
        <v>273</v>
      </c>
      <c r="N207" s="11"/>
      <c r="O207" s="19" t="s">
        <v>1019</v>
      </c>
      <c r="P207" s="7"/>
      <c r="Q207" s="24"/>
      <c r="R207" s="25"/>
      <c r="S207" s="7"/>
      <c r="T207" s="7" t="s">
        <v>603</v>
      </c>
      <c r="U207" s="7" t="s">
        <v>603</v>
      </c>
    </row>
    <row r="208" spans="1:21" x14ac:dyDescent="0.3">
      <c r="A208" s="7" t="s">
        <v>839</v>
      </c>
      <c r="B208" s="7" t="s">
        <v>840</v>
      </c>
      <c r="C208" s="7" t="s">
        <v>841</v>
      </c>
      <c r="D208" s="7" t="s">
        <v>842</v>
      </c>
      <c r="E208" s="18">
        <v>2022</v>
      </c>
      <c r="F208" s="18">
        <v>14</v>
      </c>
      <c r="G208" s="19" t="s">
        <v>14</v>
      </c>
      <c r="H208" s="18" t="s">
        <v>14</v>
      </c>
      <c r="I208" s="18">
        <v>871</v>
      </c>
      <c r="J208" s="18">
        <v>883</v>
      </c>
      <c r="K208" s="42">
        <v>44896</v>
      </c>
      <c r="L208" s="42"/>
      <c r="M208" s="42" t="s">
        <v>273</v>
      </c>
      <c r="N208" s="11"/>
      <c r="O208" s="19" t="s">
        <v>909</v>
      </c>
      <c r="P208" s="7"/>
      <c r="Q208" s="24"/>
      <c r="R208" s="25"/>
      <c r="S208" s="7"/>
      <c r="T208" s="7" t="s">
        <v>603</v>
      </c>
      <c r="U208" s="7" t="s">
        <v>603</v>
      </c>
    </row>
    <row r="209" spans="1:21" x14ac:dyDescent="0.3">
      <c r="A209" s="7" t="s">
        <v>942</v>
      </c>
      <c r="B209" s="7" t="s">
        <v>943</v>
      </c>
      <c r="C209" s="7" t="s">
        <v>160</v>
      </c>
      <c r="D209" s="7" t="s">
        <v>161</v>
      </c>
      <c r="E209" s="18">
        <v>2022</v>
      </c>
      <c r="F209" s="18">
        <v>16</v>
      </c>
      <c r="G209" s="19" t="s">
        <v>65</v>
      </c>
      <c r="H209" s="18" t="s">
        <v>1032</v>
      </c>
      <c r="I209" s="18" t="s">
        <v>14</v>
      </c>
      <c r="J209" s="18" t="s">
        <v>14</v>
      </c>
      <c r="K209" s="42">
        <v>44908</v>
      </c>
      <c r="L209" s="42"/>
      <c r="M209" s="42" t="s">
        <v>273</v>
      </c>
      <c r="N209" s="11"/>
      <c r="O209" s="19" t="s">
        <v>1031</v>
      </c>
      <c r="P209" s="7"/>
      <c r="Q209" s="24"/>
      <c r="R209" s="25"/>
      <c r="S209" s="7"/>
      <c r="T209" s="7" t="s">
        <v>603</v>
      </c>
      <c r="U209" s="7" t="s">
        <v>603</v>
      </c>
    </row>
    <row r="210" spans="1:21" x14ac:dyDescent="0.3">
      <c r="A210" s="7" t="s">
        <v>897</v>
      </c>
      <c r="B210" s="7" t="s">
        <v>898</v>
      </c>
      <c r="C210" s="7" t="s">
        <v>89</v>
      </c>
      <c r="D210" s="7" t="s">
        <v>89</v>
      </c>
      <c r="E210" s="18">
        <v>2022</v>
      </c>
      <c r="F210" s="18">
        <v>22</v>
      </c>
      <c r="G210" s="19" t="s">
        <v>14</v>
      </c>
      <c r="H210" s="18">
        <v>2397</v>
      </c>
      <c r="I210" s="18" t="s">
        <v>14</v>
      </c>
      <c r="J210" s="18" t="s">
        <v>14</v>
      </c>
      <c r="K210" s="42">
        <v>44915</v>
      </c>
      <c r="L210" s="42"/>
      <c r="M210" s="42" t="s">
        <v>273</v>
      </c>
      <c r="N210" s="11"/>
      <c r="O210" s="19" t="s">
        <v>1030</v>
      </c>
      <c r="P210" s="7"/>
      <c r="Q210" s="24"/>
      <c r="R210" s="25"/>
      <c r="S210" s="7"/>
      <c r="T210" s="7" t="s">
        <v>603</v>
      </c>
      <c r="U210" s="7" t="s">
        <v>603</v>
      </c>
    </row>
    <row r="211" spans="1:21" x14ac:dyDescent="0.3">
      <c r="A211" s="7" t="s">
        <v>992</v>
      </c>
      <c r="B211" s="7" t="s">
        <v>993</v>
      </c>
      <c r="C211" s="7" t="s">
        <v>994</v>
      </c>
      <c r="D211" s="7" t="s">
        <v>995</v>
      </c>
      <c r="E211" s="18">
        <v>2023</v>
      </c>
      <c r="F211" s="18">
        <v>30</v>
      </c>
      <c r="G211" s="19" t="s">
        <v>101</v>
      </c>
      <c r="H211" s="18" t="s">
        <v>996</v>
      </c>
      <c r="I211" s="18" t="s">
        <v>14</v>
      </c>
      <c r="J211" s="18" t="s">
        <v>14</v>
      </c>
      <c r="K211" s="42">
        <v>44927</v>
      </c>
      <c r="L211" s="42"/>
      <c r="M211" s="42" t="s">
        <v>273</v>
      </c>
      <c r="N211" s="11"/>
      <c r="O211" s="19" t="s">
        <v>997</v>
      </c>
      <c r="P211" s="7"/>
      <c r="Q211" s="24"/>
      <c r="R211" s="25"/>
      <c r="S211" s="7"/>
      <c r="T211" s="7" t="s">
        <v>603</v>
      </c>
      <c r="U211" s="7" t="s">
        <v>603</v>
      </c>
    </row>
    <row r="212" spans="1:21" x14ac:dyDescent="0.3">
      <c r="A212" s="7" t="s">
        <v>1004</v>
      </c>
      <c r="B212" s="7" t="s">
        <v>1054</v>
      </c>
      <c r="C212" s="7" t="s">
        <v>509</v>
      </c>
      <c r="D212" s="7" t="s">
        <v>510</v>
      </c>
      <c r="E212" s="18">
        <v>2023</v>
      </c>
      <c r="F212" s="18">
        <v>151</v>
      </c>
      <c r="G212" s="19" t="s">
        <v>14</v>
      </c>
      <c r="H212" s="18" t="s">
        <v>1064</v>
      </c>
      <c r="I212" s="18" t="s">
        <v>14</v>
      </c>
      <c r="J212" s="18" t="s">
        <v>14</v>
      </c>
      <c r="K212" s="42">
        <v>44935</v>
      </c>
      <c r="L212" s="42"/>
      <c r="M212" s="42" t="s">
        <v>273</v>
      </c>
      <c r="N212" s="11"/>
      <c r="O212" s="19" t="s">
        <v>1059</v>
      </c>
      <c r="P212" s="7"/>
      <c r="Q212" s="24"/>
      <c r="R212" s="25"/>
      <c r="S212" s="7"/>
      <c r="T212" s="7" t="s">
        <v>603</v>
      </c>
      <c r="U212" s="7" t="s">
        <v>603</v>
      </c>
    </row>
    <row r="213" spans="1:21" x14ac:dyDescent="0.3">
      <c r="A213" s="7" t="s">
        <v>938</v>
      </c>
      <c r="B213" s="7" t="s">
        <v>939</v>
      </c>
      <c r="C213" s="7" t="s">
        <v>144</v>
      </c>
      <c r="D213" s="7" t="s">
        <v>144</v>
      </c>
      <c r="E213" s="18">
        <v>2023</v>
      </c>
      <c r="F213" s="18">
        <v>18</v>
      </c>
      <c r="G213" s="19" t="s">
        <v>101</v>
      </c>
      <c r="H213" s="18" t="s">
        <v>1056</v>
      </c>
      <c r="I213" s="18" t="s">
        <v>14</v>
      </c>
      <c r="J213" s="18" t="s">
        <v>14</v>
      </c>
      <c r="K213" s="42">
        <v>44950</v>
      </c>
      <c r="L213" s="42"/>
      <c r="M213" s="42" t="s">
        <v>273</v>
      </c>
      <c r="N213" s="11"/>
      <c r="O213" s="19" t="s">
        <v>1057</v>
      </c>
      <c r="P213" s="7"/>
      <c r="Q213" s="24"/>
      <c r="R213" s="25"/>
      <c r="S213" s="7"/>
      <c r="T213" s="7" t="s">
        <v>603</v>
      </c>
      <c r="U213" s="7" t="s">
        <v>603</v>
      </c>
    </row>
    <row r="214" spans="1:21" x14ac:dyDescent="0.3">
      <c r="A214" s="7" t="s">
        <v>1048</v>
      </c>
      <c r="B214" s="7" t="s">
        <v>925</v>
      </c>
      <c r="C214" s="7" t="s">
        <v>1049</v>
      </c>
      <c r="D214" s="7" t="s">
        <v>1050</v>
      </c>
      <c r="E214" s="18">
        <v>2023</v>
      </c>
      <c r="F214" s="18">
        <v>4</v>
      </c>
      <c r="G214" s="19" t="s">
        <v>14</v>
      </c>
      <c r="H214" s="18">
        <v>1063982</v>
      </c>
      <c r="I214" s="18" t="s">
        <v>14</v>
      </c>
      <c r="J214" s="18" t="s">
        <v>14</v>
      </c>
      <c r="K214" s="42">
        <v>44959</v>
      </c>
      <c r="L214" s="42"/>
      <c r="M214" s="42" t="s">
        <v>273</v>
      </c>
      <c r="N214" s="11"/>
      <c r="O214" s="19" t="s">
        <v>1058</v>
      </c>
      <c r="P214" s="7"/>
      <c r="Q214" s="24"/>
      <c r="R214" s="25"/>
      <c r="S214" s="7"/>
      <c r="T214" s="7" t="s">
        <v>603</v>
      </c>
      <c r="U214" s="7" t="s">
        <v>603</v>
      </c>
    </row>
    <row r="215" spans="1:21" x14ac:dyDescent="0.3">
      <c r="A215" s="7" t="s">
        <v>1065</v>
      </c>
      <c r="B215" s="7" t="s">
        <v>970</v>
      </c>
      <c r="C215" s="7" t="s">
        <v>287</v>
      </c>
      <c r="D215" s="7" t="s">
        <v>330</v>
      </c>
      <c r="E215" s="18">
        <v>2023</v>
      </c>
      <c r="F215" s="18">
        <v>33</v>
      </c>
      <c r="G215" s="19" t="s">
        <v>101</v>
      </c>
      <c r="H215" s="18" t="s">
        <v>14</v>
      </c>
      <c r="I215" s="18">
        <v>121</v>
      </c>
      <c r="J215" s="18">
        <v>126</v>
      </c>
      <c r="K215" s="42">
        <v>44960</v>
      </c>
      <c r="L215" s="42"/>
      <c r="M215" s="42" t="s">
        <v>273</v>
      </c>
      <c r="N215" s="11"/>
      <c r="O215" s="19" t="s">
        <v>1006</v>
      </c>
      <c r="P215" s="7"/>
      <c r="Q215" s="24"/>
      <c r="R215" s="25"/>
      <c r="S215" s="7"/>
      <c r="T215" s="7" t="s">
        <v>603</v>
      </c>
      <c r="U215" s="7" t="s">
        <v>603</v>
      </c>
    </row>
    <row r="216" spans="1:21" x14ac:dyDescent="0.3">
      <c r="A216" s="7" t="s">
        <v>1023</v>
      </c>
      <c r="B216" s="7" t="s">
        <v>1025</v>
      </c>
      <c r="C216" s="7" t="s">
        <v>1024</v>
      </c>
      <c r="D216" s="7" t="s">
        <v>1026</v>
      </c>
      <c r="E216" s="18">
        <v>2023</v>
      </c>
      <c r="F216" s="18">
        <v>29</v>
      </c>
      <c r="G216" s="19" t="s">
        <v>91</v>
      </c>
      <c r="H216" s="18" t="s">
        <v>14</v>
      </c>
      <c r="I216" s="18">
        <v>516</v>
      </c>
      <c r="J216" s="18">
        <v>517</v>
      </c>
      <c r="K216" s="42">
        <v>44966</v>
      </c>
      <c r="L216" s="42"/>
      <c r="M216" s="42" t="s">
        <v>273</v>
      </c>
      <c r="N216" s="11"/>
      <c r="O216" s="19" t="s">
        <v>1060</v>
      </c>
      <c r="P216" s="7"/>
      <c r="Q216" s="24"/>
      <c r="R216" s="25"/>
      <c r="S216" s="7"/>
      <c r="T216" s="7" t="s">
        <v>603</v>
      </c>
      <c r="U216" s="7" t="s">
        <v>603</v>
      </c>
    </row>
    <row r="217" spans="1:21" x14ac:dyDescent="0.3">
      <c r="A217" s="7" t="s">
        <v>790</v>
      </c>
      <c r="B217" s="7" t="s">
        <v>791</v>
      </c>
      <c r="C217" s="7" t="s">
        <v>789</v>
      </c>
      <c r="D217" s="7" t="s">
        <v>792</v>
      </c>
      <c r="E217" s="18">
        <v>2023</v>
      </c>
      <c r="F217" s="18">
        <v>5</v>
      </c>
      <c r="G217" s="19" t="s">
        <v>101</v>
      </c>
      <c r="H217" s="18" t="s">
        <v>14</v>
      </c>
      <c r="I217" s="18">
        <v>296</v>
      </c>
      <c r="J217" s="18">
        <v>300</v>
      </c>
      <c r="K217" s="42">
        <v>44986</v>
      </c>
      <c r="L217" s="42"/>
      <c r="M217" s="42" t="s">
        <v>273</v>
      </c>
      <c r="N217" s="11"/>
      <c r="O217" s="19" t="s">
        <v>826</v>
      </c>
      <c r="P217" s="7"/>
      <c r="Q217" s="24"/>
      <c r="R217" s="25"/>
      <c r="S217" s="7"/>
      <c r="T217" s="7" t="s">
        <v>603</v>
      </c>
      <c r="U217" s="7" t="s">
        <v>603</v>
      </c>
    </row>
    <row r="218" spans="1:21" x14ac:dyDescent="0.3">
      <c r="A218" s="7" t="s">
        <v>1077</v>
      </c>
      <c r="B218" s="7" t="s">
        <v>981</v>
      </c>
      <c r="C218" s="7" t="s">
        <v>668</v>
      </c>
      <c r="D218" s="7" t="s">
        <v>669</v>
      </c>
      <c r="E218" s="18">
        <v>2023</v>
      </c>
      <c r="F218" s="18">
        <v>23</v>
      </c>
      <c r="G218" s="19" t="s">
        <v>14</v>
      </c>
      <c r="H218" s="18">
        <v>69</v>
      </c>
      <c r="I218" s="18" t="s">
        <v>14</v>
      </c>
      <c r="J218" s="18" t="s">
        <v>14</v>
      </c>
      <c r="K218" s="42">
        <v>45010</v>
      </c>
      <c r="L218" s="42"/>
      <c r="M218" s="42" t="s">
        <v>273</v>
      </c>
      <c r="N218" s="11"/>
      <c r="O218" s="19" t="s">
        <v>1078</v>
      </c>
      <c r="P218" s="7"/>
      <c r="Q218" s="24"/>
      <c r="R218" s="25"/>
      <c r="S218" s="7"/>
      <c r="T218" s="7" t="s">
        <v>603</v>
      </c>
      <c r="U218" s="7" t="s">
        <v>603</v>
      </c>
    </row>
    <row r="219" spans="1:21" x14ac:dyDescent="0.3">
      <c r="A219" s="7" t="s">
        <v>1090</v>
      </c>
      <c r="B219" s="7" t="s">
        <v>766</v>
      </c>
      <c r="C219" s="7" t="s">
        <v>930</v>
      </c>
      <c r="D219" s="7" t="s">
        <v>931</v>
      </c>
      <c r="E219" s="18">
        <v>2023</v>
      </c>
      <c r="F219" s="18">
        <v>23</v>
      </c>
      <c r="G219" s="19" t="s">
        <v>14</v>
      </c>
      <c r="H219" s="18">
        <v>168</v>
      </c>
      <c r="I219" s="18" t="s">
        <v>14</v>
      </c>
      <c r="J219" s="18" t="s">
        <v>14</v>
      </c>
      <c r="K219" s="42">
        <v>45023</v>
      </c>
      <c r="L219" s="42"/>
      <c r="M219" s="42" t="s">
        <v>273</v>
      </c>
      <c r="N219" s="11"/>
      <c r="O219" s="19" t="s">
        <v>1089</v>
      </c>
      <c r="P219" s="7"/>
      <c r="Q219" s="24"/>
      <c r="R219" s="25"/>
      <c r="S219" s="7"/>
      <c r="T219" s="7" t="s">
        <v>603</v>
      </c>
      <c r="U219" s="7" t="s">
        <v>603</v>
      </c>
    </row>
    <row r="220" spans="1:21" x14ac:dyDescent="0.3">
      <c r="A220" s="7" t="s">
        <v>968</v>
      </c>
      <c r="B220" s="7" t="s">
        <v>969</v>
      </c>
      <c r="C220" s="7" t="s">
        <v>108</v>
      </c>
      <c r="D220" s="7" t="s">
        <v>109</v>
      </c>
      <c r="E220" s="18">
        <v>2023</v>
      </c>
      <c r="F220" s="18">
        <v>21</v>
      </c>
      <c r="G220" s="19" t="s">
        <v>14</v>
      </c>
      <c r="H220" s="18">
        <v>4</v>
      </c>
      <c r="I220" s="18" t="s">
        <v>14</v>
      </c>
      <c r="J220" s="18" t="s">
        <v>14</v>
      </c>
      <c r="K220" s="42">
        <v>45037</v>
      </c>
      <c r="L220" s="42"/>
      <c r="M220" s="42" t="s">
        <v>273</v>
      </c>
      <c r="N220" s="11"/>
      <c r="O220" s="19" t="s">
        <v>1091</v>
      </c>
      <c r="P220" s="7"/>
      <c r="Q220" s="24"/>
      <c r="R220" s="25"/>
      <c r="S220" s="7"/>
      <c r="T220" s="7" t="s">
        <v>603</v>
      </c>
      <c r="U220" s="7" t="s">
        <v>603</v>
      </c>
    </row>
    <row r="221" spans="1:21" x14ac:dyDescent="0.3">
      <c r="A221" s="7" t="s">
        <v>999</v>
      </c>
      <c r="B221" s="7" t="s">
        <v>1000</v>
      </c>
      <c r="C221" s="7" t="s">
        <v>723</v>
      </c>
      <c r="D221" s="7" t="s">
        <v>723</v>
      </c>
      <c r="E221" s="18">
        <v>2023</v>
      </c>
      <c r="F221" s="18">
        <v>13</v>
      </c>
      <c r="G221" s="19" t="s">
        <v>92</v>
      </c>
      <c r="H221" s="18" t="s">
        <v>1114</v>
      </c>
      <c r="I221" s="18" t="s">
        <v>14</v>
      </c>
      <c r="J221" s="18" t="s">
        <v>14</v>
      </c>
      <c r="K221" s="42">
        <v>45064</v>
      </c>
      <c r="L221" s="42"/>
      <c r="M221" s="42" t="s">
        <v>273</v>
      </c>
      <c r="N221" s="11"/>
      <c r="O221" s="19" t="s">
        <v>1115</v>
      </c>
      <c r="P221" s="7"/>
      <c r="Q221" s="24"/>
      <c r="R221" s="25"/>
      <c r="S221" s="7"/>
      <c r="T221" s="7" t="s">
        <v>603</v>
      </c>
      <c r="U221" s="7" t="s">
        <v>603</v>
      </c>
    </row>
    <row r="222" spans="1:21" x14ac:dyDescent="0.3">
      <c r="A222" s="7" t="s">
        <v>1099</v>
      </c>
      <c r="B222" s="7" t="s">
        <v>1013</v>
      </c>
      <c r="C222" s="7" t="s">
        <v>12</v>
      </c>
      <c r="D222" s="7" t="s">
        <v>13</v>
      </c>
      <c r="E222" s="18">
        <v>2023</v>
      </c>
      <c r="F222" s="18">
        <v>68</v>
      </c>
      <c r="G222" s="19" t="s">
        <v>14</v>
      </c>
      <c r="H222" s="18">
        <v>1605763</v>
      </c>
      <c r="I222" s="18" t="s">
        <v>14</v>
      </c>
      <c r="J222" s="18" t="s">
        <v>14</v>
      </c>
      <c r="K222" s="42">
        <v>45077</v>
      </c>
      <c r="L222" s="42"/>
      <c r="M222" s="42" t="s">
        <v>273</v>
      </c>
      <c r="N222" s="11"/>
      <c r="O222" s="19" t="s">
        <v>1119</v>
      </c>
      <c r="P222" s="7"/>
      <c r="Q222" s="24"/>
      <c r="R222" s="25"/>
      <c r="S222" s="7"/>
      <c r="T222" s="7" t="s">
        <v>603</v>
      </c>
      <c r="U222" s="7" t="s">
        <v>603</v>
      </c>
    </row>
    <row r="223" spans="1:21" x14ac:dyDescent="0.3">
      <c r="A223" s="7" t="s">
        <v>1014</v>
      </c>
      <c r="B223" s="7" t="s">
        <v>1075</v>
      </c>
      <c r="C223" s="7" t="s">
        <v>1015</v>
      </c>
      <c r="D223" s="7" t="s">
        <v>1016</v>
      </c>
      <c r="E223" s="18">
        <v>2023</v>
      </c>
      <c r="F223" s="18">
        <v>45</v>
      </c>
      <c r="G223" s="19" t="s">
        <v>14</v>
      </c>
      <c r="H223" s="18">
        <v>100587</v>
      </c>
      <c r="I223" s="18" t="s">
        <v>14</v>
      </c>
      <c r="J223" s="18" t="s">
        <v>14</v>
      </c>
      <c r="K223" s="42">
        <v>45078</v>
      </c>
      <c r="L223" s="42"/>
      <c r="M223" s="42" t="s">
        <v>273</v>
      </c>
      <c r="N223" s="11"/>
      <c r="O223" s="19" t="s">
        <v>1092</v>
      </c>
      <c r="P223" s="7"/>
      <c r="Q223" s="24"/>
      <c r="R223" s="25"/>
      <c r="S223" s="7"/>
      <c r="T223" s="7" t="s">
        <v>603</v>
      </c>
      <c r="U223" s="7" t="s">
        <v>603</v>
      </c>
    </row>
    <row r="224" spans="1:21" x14ac:dyDescent="0.3">
      <c r="A224" s="7" t="s">
        <v>1027</v>
      </c>
      <c r="B224" s="7" t="s">
        <v>1076</v>
      </c>
      <c r="C224" s="7" t="s">
        <v>267</v>
      </c>
      <c r="D224" s="7" t="s">
        <v>268</v>
      </c>
      <c r="E224" s="18">
        <v>2023</v>
      </c>
      <c r="F224" s="18">
        <v>81</v>
      </c>
      <c r="G224" s="19" t="s">
        <v>14</v>
      </c>
      <c r="H224" s="18">
        <v>116</v>
      </c>
      <c r="I224" s="18" t="s">
        <v>14</v>
      </c>
      <c r="J224" s="18" t="s">
        <v>14</v>
      </c>
      <c r="K224" s="42">
        <v>45102</v>
      </c>
      <c r="L224" s="42"/>
      <c r="M224" s="42" t="s">
        <v>273</v>
      </c>
      <c r="N224" s="11"/>
      <c r="O224" s="19" t="s">
        <v>1142</v>
      </c>
      <c r="P224" s="7"/>
      <c r="Q224" s="24"/>
      <c r="R224" s="25"/>
      <c r="S224" s="7"/>
      <c r="T224" s="7" t="s">
        <v>603</v>
      </c>
      <c r="U224" s="7" t="s">
        <v>603</v>
      </c>
    </row>
    <row r="225" spans="1:21" x14ac:dyDescent="0.3">
      <c r="A225" s="7" t="s">
        <v>988</v>
      </c>
      <c r="B225" s="7" t="s">
        <v>989</v>
      </c>
      <c r="C225" s="7" t="s">
        <v>89</v>
      </c>
      <c r="D225" s="7" t="s">
        <v>89</v>
      </c>
      <c r="E225" s="18">
        <v>2023</v>
      </c>
      <c r="F225" s="18">
        <v>23</v>
      </c>
      <c r="G225" s="19" t="s">
        <v>14</v>
      </c>
      <c r="H225" s="18">
        <v>1433</v>
      </c>
      <c r="I225" s="18" t="s">
        <v>14</v>
      </c>
      <c r="J225" s="18" t="s">
        <v>14</v>
      </c>
      <c r="K225" s="42">
        <v>45134</v>
      </c>
      <c r="L225" s="42"/>
      <c r="M225" s="42" t="s">
        <v>273</v>
      </c>
      <c r="N225" s="11"/>
      <c r="O225" s="19" t="s">
        <v>1169</v>
      </c>
      <c r="P225" s="7"/>
      <c r="Q225" s="24"/>
      <c r="R225" s="25"/>
      <c r="S225" s="7"/>
      <c r="T225" s="7" t="s">
        <v>603</v>
      </c>
      <c r="U225" s="7" t="s">
        <v>603</v>
      </c>
    </row>
    <row r="226" spans="1:21" x14ac:dyDescent="0.3">
      <c r="A226" s="7" t="s">
        <v>1110</v>
      </c>
      <c r="B226" s="7" t="s">
        <v>1113</v>
      </c>
      <c r="C226" s="7" t="s">
        <v>1111</v>
      </c>
      <c r="D226" s="7" t="s">
        <v>1112</v>
      </c>
      <c r="E226" s="18">
        <v>2023</v>
      </c>
      <c r="F226" s="18">
        <v>22</v>
      </c>
      <c r="G226" s="19" t="s">
        <v>101</v>
      </c>
      <c r="H226" s="18">
        <v>140</v>
      </c>
      <c r="I226" s="18" t="s">
        <v>14</v>
      </c>
      <c r="J226" s="18" t="s">
        <v>14</v>
      </c>
      <c r="K226" s="42">
        <v>45135</v>
      </c>
      <c r="L226" s="42"/>
      <c r="M226" s="42" t="s">
        <v>273</v>
      </c>
      <c r="N226" s="11"/>
      <c r="O226" s="19" t="s">
        <v>1174</v>
      </c>
      <c r="P226" s="7"/>
      <c r="Q226" s="24"/>
      <c r="R226" s="25"/>
      <c r="S226" s="7"/>
      <c r="T226" s="7" t="s">
        <v>603</v>
      </c>
      <c r="U226" s="7" t="s">
        <v>603</v>
      </c>
    </row>
    <row r="227" spans="1:21" x14ac:dyDescent="0.3">
      <c r="A227" s="7" t="s">
        <v>1157</v>
      </c>
      <c r="B227" s="7" t="s">
        <v>1158</v>
      </c>
      <c r="C227" s="7" t="s">
        <v>509</v>
      </c>
      <c r="D227" s="7" t="s">
        <v>510</v>
      </c>
      <c r="E227" s="18">
        <v>2023</v>
      </c>
      <c r="F227" s="18">
        <v>151</v>
      </c>
      <c r="G227" s="19" t="s">
        <v>14</v>
      </c>
      <c r="H227" s="18" t="s">
        <v>1194</v>
      </c>
      <c r="I227" s="18" t="s">
        <v>14</v>
      </c>
      <c r="J227" s="18" t="s">
        <v>14</v>
      </c>
      <c r="K227" s="42">
        <v>45152</v>
      </c>
      <c r="L227" s="42"/>
      <c r="M227" s="42" t="s">
        <v>273</v>
      </c>
      <c r="N227" s="11"/>
      <c r="O227" s="19" t="s">
        <v>1182</v>
      </c>
      <c r="P227" s="7"/>
      <c r="Q227" s="24"/>
      <c r="R227" s="25"/>
      <c r="S227" s="7"/>
      <c r="T227" s="7" t="s">
        <v>603</v>
      </c>
      <c r="U227" s="7" t="s">
        <v>603</v>
      </c>
    </row>
    <row r="228" spans="1:21" x14ac:dyDescent="0.3">
      <c r="A228" s="7" t="s">
        <v>1187</v>
      </c>
      <c r="B228" s="7" t="s">
        <v>1188</v>
      </c>
      <c r="C228" s="7" t="s">
        <v>267</v>
      </c>
      <c r="D228" s="7" t="s">
        <v>268</v>
      </c>
      <c r="E228" s="18">
        <v>2023</v>
      </c>
      <c r="F228" s="18">
        <v>81</v>
      </c>
      <c r="G228" s="19" t="s">
        <v>14</v>
      </c>
      <c r="H228" s="18">
        <v>156</v>
      </c>
      <c r="I228" s="18" t="s">
        <v>14</v>
      </c>
      <c r="J228" s="18" t="s">
        <v>14</v>
      </c>
      <c r="K228" s="42">
        <v>45162</v>
      </c>
      <c r="L228" s="42"/>
      <c r="M228" s="42" t="s">
        <v>273</v>
      </c>
      <c r="N228" s="11"/>
      <c r="O228" s="19" t="s">
        <v>1189</v>
      </c>
      <c r="P228" s="7"/>
      <c r="Q228" s="24"/>
      <c r="R228" s="25"/>
      <c r="S228" s="7"/>
      <c r="T228" s="7" t="s">
        <v>603</v>
      </c>
      <c r="U228" s="7" t="s">
        <v>603</v>
      </c>
    </row>
    <row r="229" spans="1:21" x14ac:dyDescent="0.3">
      <c r="A229" s="7" t="s">
        <v>1120</v>
      </c>
      <c r="B229" s="7" t="s">
        <v>1121</v>
      </c>
      <c r="C229" s="7" t="s">
        <v>267</v>
      </c>
      <c r="D229" s="7" t="s">
        <v>268</v>
      </c>
      <c r="E229" s="18">
        <v>2023</v>
      </c>
      <c r="F229" s="18">
        <v>81</v>
      </c>
      <c r="G229" s="19" t="s">
        <v>14</v>
      </c>
      <c r="H229" s="18">
        <v>160</v>
      </c>
      <c r="I229" s="18" t="s">
        <v>14</v>
      </c>
      <c r="J229" s="18" t="s">
        <v>14</v>
      </c>
      <c r="K229" s="42">
        <v>45163</v>
      </c>
      <c r="L229" s="42"/>
      <c r="M229" s="42" t="s">
        <v>273</v>
      </c>
      <c r="N229" s="11"/>
      <c r="O229" s="19" t="s">
        <v>1183</v>
      </c>
      <c r="P229" s="7"/>
      <c r="Q229" s="24"/>
      <c r="R229" s="25"/>
      <c r="S229" s="7"/>
      <c r="T229" s="7" t="s">
        <v>603</v>
      </c>
      <c r="U229" s="7" t="s">
        <v>603</v>
      </c>
    </row>
    <row r="230" spans="1:21" x14ac:dyDescent="0.3">
      <c r="A230" s="7" t="s">
        <v>1097</v>
      </c>
      <c r="B230" s="7" t="s">
        <v>1098</v>
      </c>
      <c r="C230" s="7" t="s">
        <v>89</v>
      </c>
      <c r="D230" s="7" t="s">
        <v>89</v>
      </c>
      <c r="E230" s="18">
        <v>2023</v>
      </c>
      <c r="F230" s="18">
        <v>23</v>
      </c>
      <c r="G230" s="19" t="s">
        <v>14</v>
      </c>
      <c r="H230" s="18">
        <v>1707</v>
      </c>
      <c r="I230" s="18" t="s">
        <v>14</v>
      </c>
      <c r="J230" s="18" t="s">
        <v>14</v>
      </c>
      <c r="K230" s="42">
        <v>45173</v>
      </c>
      <c r="L230" s="42"/>
      <c r="M230" s="42" t="s">
        <v>273</v>
      </c>
      <c r="N230" s="11"/>
      <c r="O230" s="19" t="s">
        <v>1192</v>
      </c>
      <c r="P230" s="7"/>
      <c r="Q230" s="24"/>
      <c r="R230" s="25"/>
      <c r="S230" s="7"/>
      <c r="T230" s="7" t="s">
        <v>603</v>
      </c>
      <c r="U230" s="7" t="s">
        <v>603</v>
      </c>
    </row>
    <row r="231" spans="1:21" x14ac:dyDescent="0.3">
      <c r="A231" s="7" t="s">
        <v>1190</v>
      </c>
      <c r="B231" s="7" t="s">
        <v>1191</v>
      </c>
      <c r="C231" s="7" t="s">
        <v>267</v>
      </c>
      <c r="D231" s="7" t="s">
        <v>268</v>
      </c>
      <c r="E231" s="18">
        <v>2023</v>
      </c>
      <c r="F231" s="18">
        <v>81</v>
      </c>
      <c r="G231" s="19" t="s">
        <v>14</v>
      </c>
      <c r="H231" s="18">
        <v>168</v>
      </c>
      <c r="I231" s="18" t="s">
        <v>14</v>
      </c>
      <c r="J231" s="18" t="s">
        <v>14</v>
      </c>
      <c r="K231" s="42">
        <v>45181</v>
      </c>
      <c r="L231" s="42"/>
      <c r="M231" s="42" t="s">
        <v>273</v>
      </c>
      <c r="N231" s="11"/>
      <c r="O231" s="19" t="s">
        <v>1193</v>
      </c>
      <c r="P231" s="7"/>
      <c r="Q231" s="24"/>
      <c r="R231" s="25"/>
      <c r="S231" s="7"/>
      <c r="T231" s="7" t="s">
        <v>603</v>
      </c>
      <c r="U231" s="7" t="s">
        <v>603</v>
      </c>
    </row>
    <row r="232" spans="1:21" x14ac:dyDescent="0.3">
      <c r="A232" s="7" t="s">
        <v>1071</v>
      </c>
      <c r="B232" s="7" t="s">
        <v>1074</v>
      </c>
      <c r="C232" s="7" t="s">
        <v>1073</v>
      </c>
      <c r="D232" s="7" t="s">
        <v>1072</v>
      </c>
      <c r="E232" s="18">
        <v>2023</v>
      </c>
      <c r="F232" s="18">
        <v>893</v>
      </c>
      <c r="G232" s="19" t="s">
        <v>14</v>
      </c>
      <c r="H232" s="18">
        <v>164801</v>
      </c>
      <c r="I232" s="18" t="s">
        <v>14</v>
      </c>
      <c r="J232" s="18" t="s">
        <v>14</v>
      </c>
      <c r="K232" s="42">
        <v>45200</v>
      </c>
      <c r="L232" s="42"/>
      <c r="M232" s="42" t="s">
        <v>273</v>
      </c>
      <c r="N232" s="11"/>
      <c r="O232" s="19" t="s">
        <v>1141</v>
      </c>
      <c r="P232" s="7"/>
      <c r="Q232" s="24"/>
      <c r="R232" s="25"/>
      <c r="S232" s="7"/>
      <c r="T232" s="7" t="s">
        <v>603</v>
      </c>
      <c r="U232" s="7" t="s">
        <v>603</v>
      </c>
    </row>
    <row r="233" spans="1:21" x14ac:dyDescent="0.3">
      <c r="A233" s="7" t="s">
        <v>958</v>
      </c>
      <c r="B233" s="7" t="s">
        <v>959</v>
      </c>
      <c r="C233" s="7" t="s">
        <v>957</v>
      </c>
      <c r="D233" s="7" t="s">
        <v>960</v>
      </c>
      <c r="E233" s="18">
        <v>2023</v>
      </c>
      <c r="F233" s="18">
        <v>15</v>
      </c>
      <c r="G233" s="19" t="s">
        <v>92</v>
      </c>
      <c r="H233" s="18" t="s">
        <v>14</v>
      </c>
      <c r="I233" s="18">
        <v>1313</v>
      </c>
      <c r="J233" s="18">
        <v>1344</v>
      </c>
      <c r="K233" s="42">
        <v>45200</v>
      </c>
      <c r="L233" s="42"/>
      <c r="M233" s="42" t="s">
        <v>273</v>
      </c>
      <c r="N233" s="11"/>
      <c r="O233" s="19" t="s">
        <v>1178</v>
      </c>
      <c r="P233" s="7"/>
      <c r="Q233" s="24"/>
      <c r="R233" s="25"/>
      <c r="S233" s="7"/>
      <c r="T233" s="7" t="s">
        <v>603</v>
      </c>
      <c r="U233" s="7" t="s">
        <v>603</v>
      </c>
    </row>
    <row r="234" spans="1:21" x14ac:dyDescent="0.3">
      <c r="A234" s="7" t="s">
        <v>1081</v>
      </c>
      <c r="B234" s="7" t="s">
        <v>1082</v>
      </c>
      <c r="C234" s="7" t="s">
        <v>144</v>
      </c>
      <c r="D234" s="7" t="s">
        <v>144</v>
      </c>
      <c r="E234" s="18">
        <v>2023</v>
      </c>
      <c r="F234" s="18">
        <v>18</v>
      </c>
      <c r="G234" s="19" t="s">
        <v>99</v>
      </c>
      <c r="H234" s="18" t="s">
        <v>1198</v>
      </c>
      <c r="I234" s="18" t="s">
        <v>14</v>
      </c>
      <c r="J234" s="18" t="s">
        <v>14</v>
      </c>
      <c r="K234" s="42">
        <v>45204</v>
      </c>
      <c r="L234" s="42"/>
      <c r="M234" s="42" t="s">
        <v>273</v>
      </c>
      <c r="N234" s="11"/>
      <c r="O234" s="19" t="s">
        <v>1200</v>
      </c>
      <c r="P234" s="7"/>
      <c r="Q234" s="24"/>
      <c r="R234" s="25"/>
      <c r="S234" s="7"/>
      <c r="T234" s="7" t="s">
        <v>603</v>
      </c>
      <c r="U234" s="7" t="s">
        <v>603</v>
      </c>
    </row>
    <row r="235" spans="1:21" x14ac:dyDescent="0.3">
      <c r="A235" s="7" t="s">
        <v>1201</v>
      </c>
      <c r="B235" s="7" t="s">
        <v>1051</v>
      </c>
      <c r="C235" s="7" t="s">
        <v>723</v>
      </c>
      <c r="D235" s="7" t="s">
        <v>723</v>
      </c>
      <c r="E235" s="18">
        <v>2023</v>
      </c>
      <c r="F235" s="18">
        <v>13</v>
      </c>
      <c r="G235" s="19" t="s">
        <v>99</v>
      </c>
      <c r="H235" s="18" t="s">
        <v>1202</v>
      </c>
      <c r="I235" s="18" t="s">
        <v>14</v>
      </c>
      <c r="J235" s="18" t="s">
        <v>14</v>
      </c>
      <c r="K235" s="42">
        <v>45205</v>
      </c>
      <c r="L235" s="42"/>
      <c r="M235" s="42" t="s">
        <v>273</v>
      </c>
      <c r="N235" s="11"/>
      <c r="O235" s="19" t="s">
        <v>1203</v>
      </c>
      <c r="P235" s="7"/>
      <c r="Q235" s="24"/>
      <c r="R235" s="25"/>
      <c r="S235" s="7"/>
      <c r="T235" s="7" t="s">
        <v>603</v>
      </c>
      <c r="U235" s="7" t="s">
        <v>603</v>
      </c>
    </row>
    <row r="236" spans="1:21" x14ac:dyDescent="0.3">
      <c r="A236" s="7" t="s">
        <v>1010</v>
      </c>
      <c r="B236" s="7" t="s">
        <v>1011</v>
      </c>
      <c r="C236" s="7" t="s">
        <v>144</v>
      </c>
      <c r="D236" s="7" t="s">
        <v>144</v>
      </c>
      <c r="E236" s="18">
        <v>2023</v>
      </c>
      <c r="F236" s="18">
        <v>18</v>
      </c>
      <c r="G236" s="19" t="s">
        <v>99</v>
      </c>
      <c r="H236" s="18" t="s">
        <v>1206</v>
      </c>
      <c r="I236" s="18" t="s">
        <v>14</v>
      </c>
      <c r="J236" s="18" t="s">
        <v>14</v>
      </c>
      <c r="K236" s="42">
        <v>45229</v>
      </c>
      <c r="L236" s="42"/>
      <c r="M236" s="42" t="s">
        <v>273</v>
      </c>
      <c r="N236" s="11"/>
      <c r="O236" s="19" t="s">
        <v>1207</v>
      </c>
      <c r="P236" s="7"/>
      <c r="Q236" s="24"/>
      <c r="R236" s="25"/>
      <c r="S236" s="7"/>
      <c r="T236" s="7" t="s">
        <v>603</v>
      </c>
      <c r="U236" s="7" t="s">
        <v>603</v>
      </c>
    </row>
    <row r="237" spans="1:21" x14ac:dyDescent="0.3">
      <c r="A237" s="7" t="s">
        <v>1100</v>
      </c>
      <c r="B237" s="7" t="s">
        <v>1101</v>
      </c>
      <c r="C237" s="7" t="s">
        <v>1109</v>
      </c>
      <c r="D237" s="7" t="s">
        <v>1108</v>
      </c>
      <c r="E237" s="18">
        <v>2023</v>
      </c>
      <c r="F237" s="18">
        <v>9</v>
      </c>
      <c r="G237" s="19" t="s">
        <v>153</v>
      </c>
      <c r="H237" s="18" t="s">
        <v>14</v>
      </c>
      <c r="I237" s="18">
        <v>647</v>
      </c>
      <c r="J237" s="18">
        <v>661</v>
      </c>
      <c r="K237" s="42">
        <v>45231</v>
      </c>
      <c r="L237" s="42"/>
      <c r="M237" s="42" t="s">
        <v>273</v>
      </c>
      <c r="N237" s="11"/>
      <c r="O237" s="19" t="s">
        <v>1199</v>
      </c>
      <c r="P237" s="7"/>
      <c r="Q237" s="24"/>
      <c r="R237" s="25"/>
      <c r="S237" s="7"/>
      <c r="T237" s="7" t="s">
        <v>603</v>
      </c>
      <c r="U237" s="7" t="s">
        <v>603</v>
      </c>
    </row>
    <row r="238" spans="1:21" x14ac:dyDescent="0.3">
      <c r="A238" s="7" t="s">
        <v>1028</v>
      </c>
      <c r="B238" s="7" t="s">
        <v>1029</v>
      </c>
      <c r="C238" s="7" t="s">
        <v>267</v>
      </c>
      <c r="D238" s="7" t="s">
        <v>268</v>
      </c>
      <c r="E238" s="18">
        <v>2023</v>
      </c>
      <c r="F238" s="18">
        <v>81</v>
      </c>
      <c r="G238" s="19" t="s">
        <v>14</v>
      </c>
      <c r="H238" s="18">
        <v>193</v>
      </c>
      <c r="I238" s="18" t="s">
        <v>14</v>
      </c>
      <c r="J238" s="18" t="s">
        <v>14</v>
      </c>
      <c r="K238" s="42">
        <v>45232</v>
      </c>
      <c r="L238" s="42"/>
      <c r="M238" s="42" t="s">
        <v>273</v>
      </c>
      <c r="N238" s="11"/>
      <c r="O238" s="19" t="s">
        <v>1208</v>
      </c>
      <c r="P238" s="7"/>
      <c r="Q238" s="24"/>
      <c r="R238" s="25"/>
      <c r="S238" s="7"/>
      <c r="T238" s="7" t="s">
        <v>603</v>
      </c>
      <c r="U238" s="7" t="s">
        <v>603</v>
      </c>
    </row>
    <row r="239" spans="1:21" x14ac:dyDescent="0.3">
      <c r="A239" s="7" t="s">
        <v>979</v>
      </c>
      <c r="B239" s="7" t="s">
        <v>980</v>
      </c>
      <c r="C239" s="7" t="s">
        <v>1211</v>
      </c>
      <c r="D239" s="7" t="s">
        <v>1212</v>
      </c>
      <c r="E239" s="18">
        <v>2023</v>
      </c>
      <c r="F239" s="18">
        <v>2</v>
      </c>
      <c r="G239" s="19" t="s">
        <v>14</v>
      </c>
      <c r="H239" s="18">
        <v>35</v>
      </c>
      <c r="I239" s="18" t="s">
        <v>14</v>
      </c>
      <c r="J239" s="18" t="s">
        <v>14</v>
      </c>
      <c r="K239" s="42">
        <v>45232</v>
      </c>
      <c r="L239" s="42"/>
      <c r="M239" s="42" t="s">
        <v>273</v>
      </c>
      <c r="N239" s="11"/>
      <c r="O239" s="19" t="s">
        <v>1216</v>
      </c>
      <c r="P239" s="7"/>
      <c r="Q239" s="24"/>
      <c r="R239" s="25"/>
      <c r="S239" s="7"/>
      <c r="T239" s="7" t="s">
        <v>603</v>
      </c>
      <c r="U239" s="7" t="s">
        <v>603</v>
      </c>
    </row>
    <row r="240" spans="1:21" x14ac:dyDescent="0.3">
      <c r="A240" s="7" t="s">
        <v>1239</v>
      </c>
      <c r="B240" s="7" t="s">
        <v>1240</v>
      </c>
      <c r="C240" s="7" t="s">
        <v>1085</v>
      </c>
      <c r="D240" s="7" t="s">
        <v>1086</v>
      </c>
      <c r="E240" s="18">
        <v>2023</v>
      </c>
      <c r="F240" s="18">
        <v>52</v>
      </c>
      <c r="G240" s="19" t="s">
        <v>69</v>
      </c>
      <c r="H240" s="18" t="s">
        <v>1241</v>
      </c>
      <c r="I240" s="18" t="s">
        <v>14</v>
      </c>
      <c r="J240" s="18" t="s">
        <v>14</v>
      </c>
      <c r="K240" s="42">
        <v>45232</v>
      </c>
      <c r="L240" s="42"/>
      <c r="M240" s="42" t="s">
        <v>273</v>
      </c>
      <c r="N240" s="11"/>
      <c r="O240" s="19" t="s">
        <v>1242</v>
      </c>
      <c r="P240" s="7"/>
      <c r="Q240" s="24"/>
      <c r="R240" s="25"/>
      <c r="S240" s="7"/>
      <c r="T240" s="7" t="s">
        <v>603</v>
      </c>
      <c r="U240" s="7" t="s">
        <v>603</v>
      </c>
    </row>
    <row r="241" spans="1:21" x14ac:dyDescent="0.3">
      <c r="A241" s="7" t="s">
        <v>1083</v>
      </c>
      <c r="B241" s="7" t="s">
        <v>1214</v>
      </c>
      <c r="C241" s="7" t="s">
        <v>1084</v>
      </c>
      <c r="D241" s="7" t="s">
        <v>344</v>
      </c>
      <c r="E241" s="18">
        <v>2023</v>
      </c>
      <c r="F241" s="18">
        <v>23</v>
      </c>
      <c r="G241" s="19" t="s">
        <v>14</v>
      </c>
      <c r="H241" s="18">
        <v>774</v>
      </c>
      <c r="I241" s="18" t="s">
        <v>14</v>
      </c>
      <c r="J241" s="18" t="s">
        <v>14</v>
      </c>
      <c r="K241" s="42">
        <v>45238</v>
      </c>
      <c r="L241" s="42"/>
      <c r="M241" s="42" t="s">
        <v>273</v>
      </c>
      <c r="N241" s="11"/>
      <c r="O241" s="19" t="s">
        <v>1215</v>
      </c>
      <c r="P241" s="7"/>
      <c r="Q241" s="24"/>
      <c r="R241" s="25"/>
      <c r="S241" s="7"/>
      <c r="T241" s="7" t="s">
        <v>603</v>
      </c>
      <c r="U241" s="7" t="s">
        <v>603</v>
      </c>
    </row>
    <row r="242" spans="1:21" x14ac:dyDescent="0.3">
      <c r="A242" s="7" t="s">
        <v>1220</v>
      </c>
      <c r="B242" s="7" t="s">
        <v>1168</v>
      </c>
      <c r="C242" s="7" t="s">
        <v>1221</v>
      </c>
      <c r="D242" s="7" t="s">
        <v>1222</v>
      </c>
      <c r="E242" s="18">
        <v>2023</v>
      </c>
      <c r="F242" s="18">
        <v>51</v>
      </c>
      <c r="G242" s="19" t="s">
        <v>14</v>
      </c>
      <c r="H242" s="18">
        <v>64</v>
      </c>
      <c r="I242" s="18" t="s">
        <v>14</v>
      </c>
      <c r="J242" s="18" t="s">
        <v>14</v>
      </c>
      <c r="K242" s="42">
        <v>45245</v>
      </c>
      <c r="L242" s="42"/>
      <c r="M242" s="42" t="s">
        <v>273</v>
      </c>
      <c r="N242" s="11"/>
      <c r="O242" s="19" t="s">
        <v>1223</v>
      </c>
      <c r="P242" s="7"/>
      <c r="Q242" s="24"/>
      <c r="R242" s="25"/>
      <c r="S242" s="7"/>
      <c r="T242" s="7" t="s">
        <v>603</v>
      </c>
      <c r="U242" s="7" t="s">
        <v>603</v>
      </c>
    </row>
    <row r="243" spans="1:21" x14ac:dyDescent="0.3">
      <c r="A243" s="7" t="s">
        <v>1018</v>
      </c>
      <c r="B243" s="7" t="s">
        <v>1017</v>
      </c>
      <c r="C243" s="7" t="s">
        <v>419</v>
      </c>
      <c r="D243" s="7" t="s">
        <v>419</v>
      </c>
      <c r="E243" s="18">
        <v>2023</v>
      </c>
      <c r="F243" s="18">
        <v>17</v>
      </c>
      <c r="G243" s="19" t="s">
        <v>14</v>
      </c>
      <c r="H243" s="18">
        <v>100595</v>
      </c>
      <c r="I243" s="18" t="s">
        <v>14</v>
      </c>
      <c r="J243" s="18" t="s">
        <v>14</v>
      </c>
      <c r="K243" s="42">
        <v>45261</v>
      </c>
      <c r="L243" s="42"/>
      <c r="M243" s="42" t="s">
        <v>273</v>
      </c>
      <c r="N243" s="11"/>
      <c r="O243" s="19" t="s">
        <v>1156</v>
      </c>
      <c r="P243" s="7"/>
      <c r="Q243" s="24"/>
      <c r="R243" s="25"/>
      <c r="S243" s="7"/>
      <c r="T243" s="7" t="s">
        <v>603</v>
      </c>
      <c r="U243" s="7" t="s">
        <v>603</v>
      </c>
    </row>
    <row r="244" spans="1:21" x14ac:dyDescent="0.3">
      <c r="A244" s="7" t="s">
        <v>984</v>
      </c>
      <c r="B244" s="7" t="s">
        <v>985</v>
      </c>
      <c r="C244" s="7" t="s">
        <v>986</v>
      </c>
      <c r="D244" s="7" t="s">
        <v>987</v>
      </c>
      <c r="E244" s="18">
        <v>2023</v>
      </c>
      <c r="F244" s="18">
        <v>19</v>
      </c>
      <c r="G244" s="19" t="s">
        <v>548</v>
      </c>
      <c r="H244" s="18" t="s">
        <v>14</v>
      </c>
      <c r="I244" s="18">
        <v>743</v>
      </c>
      <c r="J244" s="18">
        <v>757</v>
      </c>
      <c r="K244" s="42">
        <v>45261</v>
      </c>
      <c r="L244" s="42"/>
      <c r="M244" s="42" t="s">
        <v>273</v>
      </c>
      <c r="N244" s="11"/>
      <c r="O244" s="19" t="s">
        <v>991</v>
      </c>
      <c r="P244" s="7"/>
      <c r="Q244" s="24"/>
      <c r="R244" s="25"/>
      <c r="S244" s="7"/>
      <c r="T244" s="7" t="s">
        <v>603</v>
      </c>
      <c r="U244" s="7" t="s">
        <v>603</v>
      </c>
    </row>
    <row r="245" spans="1:21" x14ac:dyDescent="0.3">
      <c r="A245" s="7" t="s">
        <v>1204</v>
      </c>
      <c r="B245" s="7" t="s">
        <v>1205</v>
      </c>
      <c r="C245" s="7" t="s">
        <v>160</v>
      </c>
      <c r="D245" s="7" t="s">
        <v>161</v>
      </c>
      <c r="E245" s="18">
        <v>2024</v>
      </c>
      <c r="F245" s="18">
        <v>18</v>
      </c>
      <c r="G245" s="19" t="s">
        <v>101</v>
      </c>
      <c r="H245" s="18" t="s">
        <v>1275</v>
      </c>
      <c r="I245" s="18" t="s">
        <v>14</v>
      </c>
      <c r="J245" s="18" t="s">
        <v>14</v>
      </c>
      <c r="K245" s="42">
        <v>45308</v>
      </c>
      <c r="L245" s="42"/>
      <c r="M245" s="42" t="s">
        <v>273</v>
      </c>
      <c r="N245" s="11"/>
      <c r="O245" s="19" t="s">
        <v>1276</v>
      </c>
      <c r="P245" s="7"/>
      <c r="Q245" s="24"/>
      <c r="R245" s="25"/>
      <c r="S245" s="7"/>
      <c r="T245" s="7" t="s">
        <v>603</v>
      </c>
      <c r="U245" s="7" t="s">
        <v>603</v>
      </c>
    </row>
    <row r="246" spans="1:21" x14ac:dyDescent="0.3">
      <c r="A246" s="7" t="s">
        <v>1088</v>
      </c>
      <c r="B246" s="7" t="s">
        <v>1309</v>
      </c>
      <c r="C246" s="7" t="s">
        <v>1138</v>
      </c>
      <c r="D246" s="7" t="s">
        <v>1139</v>
      </c>
      <c r="E246" s="18">
        <v>2024</v>
      </c>
      <c r="F246" s="18">
        <v>13</v>
      </c>
      <c r="G246" s="19" t="s">
        <v>91</v>
      </c>
      <c r="H246" s="18" t="s">
        <v>1285</v>
      </c>
      <c r="I246" s="18" t="s">
        <v>14</v>
      </c>
      <c r="J246" s="18" t="s">
        <v>14</v>
      </c>
      <c r="K246" s="42">
        <v>45323</v>
      </c>
      <c r="L246" s="42"/>
      <c r="M246" s="42" t="s">
        <v>273</v>
      </c>
      <c r="N246" s="11"/>
      <c r="O246" s="19" t="s">
        <v>1272</v>
      </c>
      <c r="P246" s="7"/>
      <c r="Q246" s="24"/>
      <c r="R246" s="25"/>
      <c r="S246" s="7"/>
      <c r="T246" s="7" t="s">
        <v>603</v>
      </c>
      <c r="U246" s="7" t="s">
        <v>603</v>
      </c>
    </row>
    <row r="247" spans="1:21" x14ac:dyDescent="0.3">
      <c r="A247" s="7" t="s">
        <v>1209</v>
      </c>
      <c r="B247" s="7" t="s">
        <v>1210</v>
      </c>
      <c r="C247" s="7" t="s">
        <v>160</v>
      </c>
      <c r="D247" s="7" t="s">
        <v>161</v>
      </c>
      <c r="E247" s="18">
        <v>2024</v>
      </c>
      <c r="F247" s="18">
        <v>18</v>
      </c>
      <c r="G247" s="19" t="s">
        <v>125</v>
      </c>
      <c r="H247" s="18" t="s">
        <v>1277</v>
      </c>
      <c r="I247" s="18" t="s">
        <v>14</v>
      </c>
      <c r="J247" s="18" t="s">
        <v>14</v>
      </c>
      <c r="K247" s="42">
        <v>45330</v>
      </c>
      <c r="L247" s="42"/>
      <c r="M247" s="42" t="s">
        <v>273</v>
      </c>
      <c r="N247" s="11"/>
      <c r="O247" s="19" t="s">
        <v>1278</v>
      </c>
      <c r="P247" s="7"/>
      <c r="Q247" s="24"/>
      <c r="R247" s="25"/>
      <c r="S247" s="7"/>
      <c r="T247" s="7" t="s">
        <v>603</v>
      </c>
      <c r="U247" s="7" t="s">
        <v>603</v>
      </c>
    </row>
    <row r="248" spans="1:21" x14ac:dyDescent="0.3">
      <c r="A248" s="13" t="s">
        <v>1159</v>
      </c>
      <c r="B248" s="7" t="s">
        <v>1160</v>
      </c>
      <c r="C248" s="7" t="s">
        <v>89</v>
      </c>
      <c r="D248" s="7" t="s">
        <v>89</v>
      </c>
      <c r="E248" s="18">
        <v>2024</v>
      </c>
      <c r="F248" s="18">
        <v>24</v>
      </c>
      <c r="G248" s="19" t="s">
        <v>14</v>
      </c>
      <c r="H248" s="18">
        <v>470</v>
      </c>
      <c r="I248" s="18" t="s">
        <v>14</v>
      </c>
      <c r="J248" s="18" t="s">
        <v>14</v>
      </c>
      <c r="K248" s="42">
        <v>45336</v>
      </c>
      <c r="L248" s="42"/>
      <c r="M248" s="42" t="s">
        <v>273</v>
      </c>
      <c r="N248" s="11"/>
      <c r="O248" s="19" t="s">
        <v>1279</v>
      </c>
      <c r="P248" s="7"/>
      <c r="Q248" s="24"/>
      <c r="R248" s="25"/>
      <c r="S248" s="7"/>
      <c r="T248" s="7" t="s">
        <v>603</v>
      </c>
      <c r="U248" s="7" t="s">
        <v>603</v>
      </c>
    </row>
    <row r="249" spans="1:21" x14ac:dyDescent="0.3">
      <c r="A249" s="7" t="s">
        <v>1256</v>
      </c>
      <c r="B249" s="7" t="s">
        <v>1087</v>
      </c>
      <c r="C249" s="7" t="s">
        <v>1257</v>
      </c>
      <c r="D249" s="7" t="s">
        <v>1258</v>
      </c>
      <c r="E249" s="18">
        <v>2024</v>
      </c>
      <c r="F249" s="18">
        <v>36</v>
      </c>
      <c r="G249" s="19" t="s">
        <v>101</v>
      </c>
      <c r="H249" s="18">
        <v>40</v>
      </c>
      <c r="I249" s="18" t="s">
        <v>14</v>
      </c>
      <c r="J249" s="18" t="s">
        <v>14</v>
      </c>
      <c r="K249" s="42">
        <v>45336</v>
      </c>
      <c r="L249" s="42"/>
      <c r="M249" s="42" t="s">
        <v>273</v>
      </c>
      <c r="N249" s="11"/>
      <c r="O249" s="19" t="s">
        <v>1280</v>
      </c>
      <c r="P249" s="7"/>
      <c r="Q249" s="24"/>
      <c r="R249" s="25"/>
      <c r="S249" s="7"/>
      <c r="T249" s="7" t="s">
        <v>603</v>
      </c>
      <c r="U249" s="7" t="s">
        <v>603</v>
      </c>
    </row>
    <row r="250" spans="1:21" x14ac:dyDescent="0.3">
      <c r="A250" s="7" t="s">
        <v>1079</v>
      </c>
      <c r="B250" s="7" t="s">
        <v>1080</v>
      </c>
      <c r="C250" s="7" t="s">
        <v>89</v>
      </c>
      <c r="D250" s="7" t="s">
        <v>89</v>
      </c>
      <c r="E250" s="18">
        <v>2024</v>
      </c>
      <c r="F250" s="18">
        <v>24</v>
      </c>
      <c r="G250" s="19" t="s">
        <v>14</v>
      </c>
      <c r="H250" s="18">
        <v>536</v>
      </c>
      <c r="I250" s="18" t="s">
        <v>14</v>
      </c>
      <c r="J250" s="18" t="s">
        <v>14</v>
      </c>
      <c r="K250" s="42">
        <v>45343</v>
      </c>
      <c r="L250" s="42"/>
      <c r="M250" s="42" t="s">
        <v>273</v>
      </c>
      <c r="N250" s="11"/>
      <c r="O250" s="19" t="s">
        <v>1284</v>
      </c>
      <c r="P250" s="7"/>
      <c r="Q250" s="24"/>
      <c r="R250" s="25"/>
      <c r="S250" s="7"/>
      <c r="T250" s="7" t="s">
        <v>603</v>
      </c>
      <c r="U250" s="7" t="s">
        <v>603</v>
      </c>
    </row>
    <row r="251" spans="1:21" x14ac:dyDescent="0.3">
      <c r="A251" s="7" t="s">
        <v>971</v>
      </c>
      <c r="B251" s="7" t="s">
        <v>972</v>
      </c>
      <c r="C251" s="7" t="s">
        <v>259</v>
      </c>
      <c r="D251" s="7" t="s">
        <v>262</v>
      </c>
      <c r="E251" s="18">
        <v>2024</v>
      </c>
      <c r="F251" s="18">
        <v>78</v>
      </c>
      <c r="G251" s="19" t="s">
        <v>91</v>
      </c>
      <c r="H251" s="18" t="s">
        <v>14</v>
      </c>
      <c r="I251" s="18">
        <v>176</v>
      </c>
      <c r="J251" s="18">
        <v>183</v>
      </c>
      <c r="K251" s="42">
        <v>45352</v>
      </c>
      <c r="L251" s="42"/>
      <c r="M251" s="42" t="s">
        <v>273</v>
      </c>
      <c r="N251" s="11"/>
      <c r="O251" s="19" t="s">
        <v>1286</v>
      </c>
      <c r="P251" s="7"/>
      <c r="Q251" s="24"/>
      <c r="R251" s="25"/>
      <c r="S251" s="7"/>
      <c r="T251" s="7" t="s">
        <v>603</v>
      </c>
      <c r="U251" s="7" t="s">
        <v>603</v>
      </c>
    </row>
    <row r="252" spans="1:21" x14ac:dyDescent="0.3">
      <c r="A252" s="7" t="s">
        <v>1303</v>
      </c>
      <c r="B252" s="7" t="s">
        <v>1320</v>
      </c>
      <c r="C252" s="7" t="s">
        <v>668</v>
      </c>
      <c r="D252" s="7" t="s">
        <v>669</v>
      </c>
      <c r="E252" s="18">
        <v>2024</v>
      </c>
      <c r="F252" s="18">
        <v>24</v>
      </c>
      <c r="G252" s="19" t="s">
        <v>14</v>
      </c>
      <c r="H252" s="18">
        <v>87</v>
      </c>
      <c r="I252" s="18" t="s">
        <v>14</v>
      </c>
      <c r="J252" s="18" t="s">
        <v>14</v>
      </c>
      <c r="K252" s="42">
        <v>45396</v>
      </c>
      <c r="L252" s="42"/>
      <c r="M252" s="42" t="s">
        <v>273</v>
      </c>
      <c r="N252" s="11"/>
      <c r="O252" s="19" t="s">
        <v>1304</v>
      </c>
      <c r="P252" s="7"/>
      <c r="Q252" s="24"/>
      <c r="R252" s="25"/>
      <c r="S252" s="7"/>
      <c r="T252" s="7" t="s">
        <v>603</v>
      </c>
      <c r="U252" s="7" t="s">
        <v>603</v>
      </c>
    </row>
    <row r="253" spans="1:21" x14ac:dyDescent="0.3">
      <c r="A253" s="7" t="s">
        <v>1136</v>
      </c>
      <c r="B253" s="7" t="s">
        <v>1310</v>
      </c>
      <c r="C253" s="7" t="s">
        <v>89</v>
      </c>
      <c r="D253" s="7" t="s">
        <v>89</v>
      </c>
      <c r="E253" s="18">
        <v>2024</v>
      </c>
      <c r="F253" s="18">
        <v>24</v>
      </c>
      <c r="G253" s="19" t="s">
        <v>14</v>
      </c>
      <c r="H253" s="18">
        <v>1374</v>
      </c>
      <c r="I253" s="18" t="s">
        <v>14</v>
      </c>
      <c r="J253" s="18" t="s">
        <v>14</v>
      </c>
      <c r="K253" s="42">
        <v>45434</v>
      </c>
      <c r="L253" s="42"/>
      <c r="M253" s="42" t="s">
        <v>273</v>
      </c>
      <c r="N253" s="11"/>
      <c r="O253" s="19" t="s">
        <v>1311</v>
      </c>
      <c r="P253" s="7"/>
      <c r="Q253" s="24"/>
      <c r="R253" s="25"/>
      <c r="S253" s="7"/>
      <c r="T253" s="7" t="s">
        <v>603</v>
      </c>
      <c r="U253" s="7" t="s">
        <v>603</v>
      </c>
    </row>
    <row r="254" spans="1:21" x14ac:dyDescent="0.3">
      <c r="A254" s="7" t="s">
        <v>1307</v>
      </c>
      <c r="B254" s="7" t="s">
        <v>1261</v>
      </c>
      <c r="C254" s="7" t="s">
        <v>1262</v>
      </c>
      <c r="D254" s="7" t="s">
        <v>1263</v>
      </c>
      <c r="E254" s="18">
        <v>2024</v>
      </c>
      <c r="F254" s="18">
        <v>18</v>
      </c>
      <c r="G254" s="19" t="s">
        <v>14</v>
      </c>
      <c r="H254" s="18">
        <v>100496</v>
      </c>
      <c r="I254" s="18" t="s">
        <v>14</v>
      </c>
      <c r="J254" s="18" t="s">
        <v>14</v>
      </c>
      <c r="K254" s="42">
        <v>45444</v>
      </c>
      <c r="L254" s="42"/>
      <c r="M254" s="42" t="s">
        <v>273</v>
      </c>
      <c r="N254" s="11"/>
      <c r="O254" s="19" t="s">
        <v>1308</v>
      </c>
      <c r="P254" s="7"/>
      <c r="Q254" s="24"/>
      <c r="R254" s="25"/>
      <c r="S254" s="7"/>
      <c r="T254" s="7" t="s">
        <v>603</v>
      </c>
      <c r="U254" s="7" t="s">
        <v>603</v>
      </c>
    </row>
    <row r="255" spans="1:21" x14ac:dyDescent="0.3">
      <c r="A255" s="7" t="s">
        <v>1325</v>
      </c>
      <c r="B255" s="7" t="s">
        <v>1326</v>
      </c>
      <c r="C255" s="7" t="s">
        <v>813</v>
      </c>
      <c r="D255" s="7" t="s">
        <v>812</v>
      </c>
      <c r="E255" s="18">
        <v>2024</v>
      </c>
      <c r="F255" s="18">
        <v>43</v>
      </c>
      <c r="G255" s="19" t="s">
        <v>14</v>
      </c>
      <c r="H255" s="18" t="s">
        <v>14</v>
      </c>
      <c r="I255" s="18">
        <v>79</v>
      </c>
      <c r="J255" s="18">
        <v>86</v>
      </c>
      <c r="K255" s="42">
        <v>45505</v>
      </c>
      <c r="L255" s="42"/>
      <c r="M255" s="42" t="s">
        <v>273</v>
      </c>
      <c r="N255" s="11"/>
      <c r="O255" s="19" t="s">
        <v>1327</v>
      </c>
      <c r="P255" s="7"/>
      <c r="Q255" s="24"/>
      <c r="R255" s="25"/>
      <c r="S255" s="7"/>
      <c r="T255" s="7" t="s">
        <v>603</v>
      </c>
      <c r="U255" s="7" t="s">
        <v>603</v>
      </c>
    </row>
    <row r="256" spans="1:21" x14ac:dyDescent="0.3">
      <c r="A256" s="7" t="s">
        <v>1061</v>
      </c>
      <c r="B256" s="7" t="s">
        <v>1062</v>
      </c>
      <c r="C256" s="7" t="s">
        <v>25</v>
      </c>
      <c r="D256" s="7" t="s">
        <v>28</v>
      </c>
      <c r="E256" s="18">
        <v>2024</v>
      </c>
      <c r="F256" s="18">
        <v>19</v>
      </c>
      <c r="G256" s="19" t="s">
        <v>14</v>
      </c>
      <c r="H256" s="18">
        <v>333</v>
      </c>
      <c r="I256" s="18" t="s">
        <v>14</v>
      </c>
      <c r="J256" s="18" t="s">
        <v>14</v>
      </c>
      <c r="K256" s="42">
        <v>45544</v>
      </c>
      <c r="L256" s="42"/>
      <c r="M256" s="42" t="s">
        <v>273</v>
      </c>
      <c r="N256" s="11"/>
      <c r="O256" s="19" t="s">
        <v>1321</v>
      </c>
      <c r="P256" s="7"/>
      <c r="Q256" s="24"/>
      <c r="R256" s="25"/>
      <c r="S256" s="7"/>
      <c r="T256" s="7" t="s">
        <v>603</v>
      </c>
      <c r="U256" s="7" t="s">
        <v>603</v>
      </c>
    </row>
    <row r="257" spans="1:21" x14ac:dyDescent="0.3">
      <c r="A257" s="7" t="s">
        <v>1293</v>
      </c>
      <c r="B257" s="7" t="s">
        <v>1063</v>
      </c>
      <c r="C257" s="7" t="s">
        <v>1084</v>
      </c>
      <c r="D257" s="7" t="s">
        <v>344</v>
      </c>
      <c r="E257" s="18">
        <v>2024</v>
      </c>
      <c r="F257" s="18">
        <v>24</v>
      </c>
      <c r="G257" s="19" t="s">
        <v>14</v>
      </c>
      <c r="H257" s="18">
        <v>1027</v>
      </c>
      <c r="I257" s="18" t="s">
        <v>14</v>
      </c>
      <c r="J257" s="18" t="s">
        <v>14</v>
      </c>
      <c r="K257" s="42">
        <v>45561</v>
      </c>
      <c r="L257" s="42"/>
      <c r="M257" s="42" t="s">
        <v>273</v>
      </c>
      <c r="N257" s="11"/>
      <c r="O257" s="19" t="s">
        <v>1328</v>
      </c>
      <c r="P257" s="7"/>
      <c r="Q257" s="24"/>
      <c r="R257" s="25"/>
      <c r="S257" s="7"/>
      <c r="T257" s="7" t="s">
        <v>603</v>
      </c>
      <c r="U257" s="7" t="s">
        <v>603</v>
      </c>
    </row>
    <row r="258" spans="1:21" x14ac:dyDescent="0.3">
      <c r="A258" s="7" t="s">
        <v>1273</v>
      </c>
      <c r="B258" s="7" t="s">
        <v>1274</v>
      </c>
      <c r="C258" s="7" t="s">
        <v>108</v>
      </c>
      <c r="D258" s="7" t="s">
        <v>109</v>
      </c>
      <c r="E258" s="18">
        <v>2024</v>
      </c>
      <c r="F258" s="18">
        <v>22</v>
      </c>
      <c r="G258" s="19" t="s">
        <v>14</v>
      </c>
      <c r="H258" s="18">
        <v>28</v>
      </c>
      <c r="I258" s="18" t="s">
        <v>14</v>
      </c>
      <c r="J258" s="18" t="s">
        <v>14</v>
      </c>
      <c r="K258" s="42">
        <v>45572</v>
      </c>
      <c r="L258" s="42"/>
      <c r="M258" s="42" t="s">
        <v>273</v>
      </c>
      <c r="N258" s="11"/>
      <c r="O258" s="19" t="s">
        <v>1338</v>
      </c>
      <c r="P258" s="7"/>
      <c r="Q258" s="24"/>
      <c r="R258" s="25"/>
      <c r="S258" s="7"/>
      <c r="T258" s="7" t="s">
        <v>603</v>
      </c>
      <c r="U258" s="7" t="s">
        <v>603</v>
      </c>
    </row>
    <row r="259" spans="1:21" x14ac:dyDescent="0.3">
      <c r="A259" s="7" t="s">
        <v>1335</v>
      </c>
      <c r="B259" s="7" t="s">
        <v>1336</v>
      </c>
      <c r="C259" s="7" t="s">
        <v>1290</v>
      </c>
      <c r="D259" s="7" t="s">
        <v>1289</v>
      </c>
      <c r="E259" s="18">
        <v>2024</v>
      </c>
      <c r="F259" s="18">
        <v>23</v>
      </c>
      <c r="G259" s="19" t="s">
        <v>14</v>
      </c>
      <c r="H259" s="18">
        <v>91</v>
      </c>
      <c r="I259" s="18" t="s">
        <v>14</v>
      </c>
      <c r="J259" s="18" t="s">
        <v>14</v>
      </c>
      <c r="K259" s="42">
        <v>45588</v>
      </c>
      <c r="L259" s="42"/>
      <c r="M259" s="42" t="s">
        <v>273</v>
      </c>
      <c r="N259" s="11"/>
      <c r="O259" s="19" t="s">
        <v>1337</v>
      </c>
      <c r="P259" s="7"/>
      <c r="Q259" s="24"/>
      <c r="R259" s="25"/>
      <c r="S259" s="7"/>
      <c r="T259" s="7" t="s">
        <v>603</v>
      </c>
      <c r="U259" s="7" t="s">
        <v>603</v>
      </c>
    </row>
    <row r="260" spans="1:21" x14ac:dyDescent="0.3">
      <c r="A260" s="7" t="s">
        <v>1312</v>
      </c>
      <c r="B260" s="7" t="s">
        <v>1345</v>
      </c>
      <c r="C260" s="7" t="s">
        <v>160</v>
      </c>
      <c r="D260" s="7" t="s">
        <v>161</v>
      </c>
      <c r="E260" s="18">
        <v>2024</v>
      </c>
      <c r="F260" s="18">
        <v>18</v>
      </c>
      <c r="G260" s="19" t="s">
        <v>69</v>
      </c>
      <c r="H260" s="18" t="s">
        <v>1347</v>
      </c>
      <c r="I260" s="18" t="s">
        <v>14</v>
      </c>
      <c r="J260" s="18" t="s">
        <v>14</v>
      </c>
      <c r="K260" s="42">
        <v>45607</v>
      </c>
      <c r="L260" s="42"/>
      <c r="M260" s="42" t="s">
        <v>273</v>
      </c>
      <c r="N260" s="11"/>
      <c r="O260" s="19" t="s">
        <v>1346</v>
      </c>
      <c r="P260" s="7"/>
      <c r="Q260" s="24"/>
      <c r="R260" s="25"/>
      <c r="S260" s="7"/>
      <c r="T260" s="7" t="s">
        <v>603</v>
      </c>
      <c r="U260" s="7" t="s">
        <v>603</v>
      </c>
    </row>
    <row r="261" spans="1:21" x14ac:dyDescent="0.3">
      <c r="A261" s="7" t="s">
        <v>1314</v>
      </c>
      <c r="B261" s="7" t="s">
        <v>1316</v>
      </c>
      <c r="C261" s="7" t="s">
        <v>267</v>
      </c>
      <c r="D261" s="7" t="s">
        <v>268</v>
      </c>
      <c r="E261" s="18">
        <v>2024</v>
      </c>
      <c r="F261" s="18">
        <v>82</v>
      </c>
      <c r="G261" s="19" t="s">
        <v>14</v>
      </c>
      <c r="H261" s="18">
        <v>209</v>
      </c>
      <c r="I261" s="18" t="s">
        <v>14</v>
      </c>
      <c r="J261" s="18" t="s">
        <v>14</v>
      </c>
      <c r="K261" s="42">
        <v>45609</v>
      </c>
      <c r="L261" s="42"/>
      <c r="M261" s="42" t="s">
        <v>273</v>
      </c>
      <c r="N261" s="11"/>
      <c r="O261" s="19" t="s">
        <v>1445</v>
      </c>
      <c r="P261" s="7"/>
      <c r="Q261" s="24"/>
      <c r="R261" s="25"/>
      <c r="S261" s="7"/>
      <c r="T261" s="7" t="s">
        <v>603</v>
      </c>
      <c r="U261" s="7" t="s">
        <v>603</v>
      </c>
    </row>
    <row r="262" spans="1:21" x14ac:dyDescent="0.3">
      <c r="A262" s="13" t="s">
        <v>1254</v>
      </c>
      <c r="B262" s="7" t="s">
        <v>1255</v>
      </c>
      <c r="C262" s="7" t="s">
        <v>267</v>
      </c>
      <c r="D262" s="7" t="s">
        <v>268</v>
      </c>
      <c r="E262" s="18">
        <v>2024</v>
      </c>
      <c r="F262" s="18">
        <v>82</v>
      </c>
      <c r="G262" s="19" t="s">
        <v>14</v>
      </c>
      <c r="H262" s="18">
        <v>217</v>
      </c>
      <c r="I262" s="18" t="s">
        <v>14</v>
      </c>
      <c r="J262" s="18" t="s">
        <v>14</v>
      </c>
      <c r="K262" s="42">
        <v>45614</v>
      </c>
      <c r="L262" s="42"/>
      <c r="M262" s="42" t="s">
        <v>273</v>
      </c>
      <c r="N262" s="11"/>
      <c r="O262" s="19" t="s">
        <v>1444</v>
      </c>
      <c r="P262" s="7"/>
      <c r="Q262" s="24"/>
      <c r="R262" s="25"/>
      <c r="S262" s="7"/>
      <c r="T262" s="7" t="s">
        <v>603</v>
      </c>
      <c r="U262" s="7" t="s">
        <v>603</v>
      </c>
    </row>
    <row r="263" spans="1:21" x14ac:dyDescent="0.3">
      <c r="A263" s="7" t="s">
        <v>1498</v>
      </c>
      <c r="B263" s="7" t="s">
        <v>1213</v>
      </c>
      <c r="C263" s="7" t="s">
        <v>1460</v>
      </c>
      <c r="D263" s="7" t="s">
        <v>1460</v>
      </c>
      <c r="E263" s="18">
        <v>2025</v>
      </c>
      <c r="F263" s="18">
        <v>3</v>
      </c>
      <c r="G263" s="19" t="s">
        <v>14</v>
      </c>
      <c r="H263" s="18" t="s">
        <v>1469</v>
      </c>
      <c r="I263" s="18" t="s">
        <v>14</v>
      </c>
      <c r="J263" s="18" t="s">
        <v>14</v>
      </c>
      <c r="K263" s="42">
        <v>45643</v>
      </c>
      <c r="L263" s="42"/>
      <c r="M263" s="42" t="s">
        <v>273</v>
      </c>
      <c r="N263" s="11"/>
      <c r="O263" s="19" t="s">
        <v>1468</v>
      </c>
      <c r="P263" s="7"/>
      <c r="Q263" s="24"/>
      <c r="R263" s="25"/>
      <c r="S263" s="7"/>
      <c r="T263" s="7"/>
      <c r="U263" s="7" t="s">
        <v>603</v>
      </c>
    </row>
    <row r="264" spans="1:21" x14ac:dyDescent="0.3">
      <c r="A264" s="7" t="s">
        <v>1340</v>
      </c>
      <c r="B264" s="7" t="s">
        <v>1339</v>
      </c>
      <c r="C264" s="7" t="s">
        <v>1287</v>
      </c>
      <c r="D264" s="7" t="s">
        <v>1288</v>
      </c>
      <c r="E264" s="18">
        <v>2025</v>
      </c>
      <c r="F264" s="18">
        <v>168</v>
      </c>
      <c r="G264" s="19" t="s">
        <v>14</v>
      </c>
      <c r="H264" s="18">
        <v>209561</v>
      </c>
      <c r="I264" s="18" t="s">
        <v>14</v>
      </c>
      <c r="J264" s="18" t="s">
        <v>14</v>
      </c>
      <c r="K264" s="42">
        <v>45658</v>
      </c>
      <c r="L264" s="42"/>
      <c r="M264" s="42" t="s">
        <v>273</v>
      </c>
      <c r="N264" s="11"/>
      <c r="O264" s="19" t="s">
        <v>1341</v>
      </c>
      <c r="P264" s="7"/>
      <c r="Q264" s="24"/>
      <c r="R264" s="25"/>
      <c r="S264" s="7"/>
      <c r="T264" s="7" t="s">
        <v>603</v>
      </c>
      <c r="U264" s="7" t="s">
        <v>603</v>
      </c>
    </row>
    <row r="265" spans="1:21" x14ac:dyDescent="0.3">
      <c r="A265" s="7" t="s">
        <v>1291</v>
      </c>
      <c r="B265" s="7" t="s">
        <v>1292</v>
      </c>
      <c r="C265" s="7" t="s">
        <v>1138</v>
      </c>
      <c r="D265" s="7" t="s">
        <v>1139</v>
      </c>
      <c r="E265" s="18">
        <v>2025</v>
      </c>
      <c r="F265" s="18">
        <v>14</v>
      </c>
      <c r="G265" s="19" t="s">
        <v>101</v>
      </c>
      <c r="H265" s="18" t="s">
        <v>1463</v>
      </c>
      <c r="I265" s="18" t="s">
        <v>14</v>
      </c>
      <c r="J265" s="18" t="s">
        <v>14</v>
      </c>
      <c r="K265" s="42">
        <v>45658</v>
      </c>
      <c r="L265" s="42"/>
      <c r="M265" s="42" t="s">
        <v>273</v>
      </c>
      <c r="N265" s="11"/>
      <c r="O265" s="19" t="s">
        <v>1464</v>
      </c>
      <c r="P265" s="7"/>
      <c r="Q265" s="24"/>
      <c r="R265" s="25"/>
      <c r="S265" s="7"/>
      <c r="T265" s="7"/>
      <c r="U265" s="7" t="s">
        <v>603</v>
      </c>
    </row>
    <row r="266" spans="1:21" x14ac:dyDescent="0.3">
      <c r="A266" s="7" t="s">
        <v>1483</v>
      </c>
      <c r="B266" s="7" t="s">
        <v>1484</v>
      </c>
      <c r="C266" s="7" t="s">
        <v>267</v>
      </c>
      <c r="D266" s="7" t="s">
        <v>1485</v>
      </c>
      <c r="E266" s="18">
        <v>2025</v>
      </c>
      <c r="F266" s="18">
        <v>83</v>
      </c>
      <c r="G266" s="19" t="s">
        <v>101</v>
      </c>
      <c r="H266" s="18">
        <v>18</v>
      </c>
      <c r="I266" s="18" t="s">
        <v>14</v>
      </c>
      <c r="J266" s="18" t="s">
        <v>14</v>
      </c>
      <c r="K266" s="42">
        <v>45680</v>
      </c>
      <c r="L266" s="42"/>
      <c r="M266" s="42" t="s">
        <v>273</v>
      </c>
      <c r="N266" s="11"/>
      <c r="O266" s="19" t="s">
        <v>1486</v>
      </c>
      <c r="P266" s="7"/>
      <c r="Q266" s="24"/>
      <c r="R266" s="25"/>
      <c r="S266" s="7"/>
      <c r="T266" s="7"/>
      <c r="U266" s="7" t="s">
        <v>603</v>
      </c>
    </row>
    <row r="267" spans="1:21" x14ac:dyDescent="0.3">
      <c r="A267" s="7" t="s">
        <v>1318</v>
      </c>
      <c r="B267" s="7" t="s">
        <v>1319</v>
      </c>
      <c r="C267" s="7" t="s">
        <v>287</v>
      </c>
      <c r="D267" s="7" t="s">
        <v>330</v>
      </c>
      <c r="E267" s="18">
        <v>2025</v>
      </c>
      <c r="F267" s="18">
        <v>35</v>
      </c>
      <c r="G267" s="19" t="s">
        <v>101</v>
      </c>
      <c r="H267" s="18" t="s">
        <v>14</v>
      </c>
      <c r="I267" s="18">
        <v>108</v>
      </c>
      <c r="J267" s="18">
        <v>113</v>
      </c>
      <c r="K267" s="42">
        <v>45689</v>
      </c>
      <c r="L267" s="42"/>
      <c r="M267" s="42" t="s">
        <v>273</v>
      </c>
      <c r="N267" s="11"/>
      <c r="O267" s="19" t="s">
        <v>1482</v>
      </c>
      <c r="P267" s="7"/>
      <c r="Q267" s="24"/>
      <c r="R267" s="25"/>
      <c r="S267" s="7"/>
      <c r="T267" s="7"/>
      <c r="U267" s="7" t="s">
        <v>603</v>
      </c>
    </row>
    <row r="268" spans="1:21" x14ac:dyDescent="0.3">
      <c r="A268" s="7" t="s">
        <v>1511</v>
      </c>
      <c r="B268" s="7" t="s">
        <v>1260</v>
      </c>
      <c r="C268" s="7" t="s">
        <v>1259</v>
      </c>
      <c r="D268" s="7" t="s">
        <v>1265</v>
      </c>
      <c r="E268" s="18">
        <v>2025</v>
      </c>
      <c r="F268" s="18">
        <v>40</v>
      </c>
      <c r="G268" s="19" t="s">
        <v>14</v>
      </c>
      <c r="H268" s="18">
        <v>101953</v>
      </c>
      <c r="I268" s="18" t="s">
        <v>14</v>
      </c>
      <c r="J268" s="18" t="s">
        <v>14</v>
      </c>
      <c r="K268" s="42">
        <v>45689</v>
      </c>
      <c r="L268" s="42"/>
      <c r="M268" s="42" t="s">
        <v>273</v>
      </c>
      <c r="N268" s="11"/>
      <c r="O268" s="19" t="s">
        <v>1512</v>
      </c>
      <c r="P268" s="7"/>
      <c r="Q268" s="24"/>
      <c r="R268" s="25"/>
      <c r="S268" s="7"/>
      <c r="T268" s="7"/>
      <c r="U268" s="7" t="s">
        <v>603</v>
      </c>
    </row>
    <row r="269" spans="1:21" x14ac:dyDescent="0.3">
      <c r="A269" s="7" t="s">
        <v>1475</v>
      </c>
      <c r="B269" s="7" t="s">
        <v>1476</v>
      </c>
      <c r="C269" s="7" t="s">
        <v>1477</v>
      </c>
      <c r="D269" s="7" t="s">
        <v>1478</v>
      </c>
      <c r="E269" s="18">
        <v>2025</v>
      </c>
      <c r="F269" s="18">
        <v>10</v>
      </c>
      <c r="G269" s="19" t="s">
        <v>91</v>
      </c>
      <c r="H269" s="18" t="s">
        <v>14</v>
      </c>
      <c r="I269" s="18" t="s">
        <v>1479</v>
      </c>
      <c r="J269" s="18" t="s">
        <v>1480</v>
      </c>
      <c r="K269" s="42">
        <v>45706</v>
      </c>
      <c r="L269" s="42"/>
      <c r="M269" s="42" t="s">
        <v>273</v>
      </c>
      <c r="N269" s="11"/>
      <c r="O269" s="19" t="s">
        <v>1481</v>
      </c>
      <c r="P269" s="7"/>
      <c r="Q269" s="24"/>
      <c r="R269" s="25"/>
      <c r="S269" s="7"/>
      <c r="T269" s="7"/>
      <c r="U269" s="7" t="s">
        <v>603</v>
      </c>
    </row>
    <row r="270" spans="1:21" x14ac:dyDescent="0.3">
      <c r="A270" s="7" t="s">
        <v>1488</v>
      </c>
      <c r="B270" s="7" t="s">
        <v>1491</v>
      </c>
      <c r="C270" s="7" t="s">
        <v>723</v>
      </c>
      <c r="D270" s="7" t="s">
        <v>723</v>
      </c>
      <c r="E270" s="18">
        <v>2025</v>
      </c>
      <c r="F270" s="18">
        <v>15</v>
      </c>
      <c r="G270" s="19" t="s">
        <v>548</v>
      </c>
      <c r="H270" s="18" t="s">
        <v>1502</v>
      </c>
      <c r="I270" s="18" t="s">
        <v>14</v>
      </c>
      <c r="J270" s="18" t="s">
        <v>14</v>
      </c>
      <c r="K270" s="42">
        <v>45750</v>
      </c>
      <c r="L270" s="42"/>
      <c r="M270" s="42" t="s">
        <v>273</v>
      </c>
      <c r="N270" s="11"/>
      <c r="O270" s="19" t="s">
        <v>1503</v>
      </c>
      <c r="P270" s="7"/>
      <c r="Q270" s="24"/>
      <c r="R270" s="25"/>
      <c r="S270" s="7"/>
      <c r="T270" s="7"/>
      <c r="U270" s="7" t="s">
        <v>603</v>
      </c>
    </row>
    <row r="271" spans="1:21" x14ac:dyDescent="0.3">
      <c r="A271" s="7" t="s">
        <v>1465</v>
      </c>
      <c r="B271" s="7" t="s">
        <v>1499</v>
      </c>
      <c r="C271" s="7" t="s">
        <v>373</v>
      </c>
      <c r="D271" s="7" t="s">
        <v>374</v>
      </c>
      <c r="E271" s="18">
        <v>2025</v>
      </c>
      <c r="F271" s="18">
        <v>15</v>
      </c>
      <c r="G271" s="19" t="s">
        <v>101</v>
      </c>
      <c r="H271" s="18">
        <v>13683</v>
      </c>
      <c r="I271" s="18" t="s">
        <v>14</v>
      </c>
      <c r="J271" s="18" t="s">
        <v>14</v>
      </c>
      <c r="K271" s="42">
        <v>45768</v>
      </c>
      <c r="L271" s="42"/>
      <c r="M271" s="42" t="s">
        <v>273</v>
      </c>
      <c r="N271" s="11"/>
      <c r="O271" s="19" t="s">
        <v>1500</v>
      </c>
      <c r="P271" s="7"/>
      <c r="Q271" s="24"/>
      <c r="R271" s="25"/>
      <c r="S271" s="7"/>
      <c r="T271" s="7"/>
      <c r="U271" s="7" t="s">
        <v>603</v>
      </c>
    </row>
    <row r="272" spans="1:21" x14ac:dyDescent="0.3">
      <c r="A272" s="7" t="s">
        <v>1342</v>
      </c>
      <c r="B272" s="7" t="s">
        <v>1343</v>
      </c>
      <c r="C272" s="7" t="s">
        <v>160</v>
      </c>
      <c r="D272" s="7" t="s">
        <v>161</v>
      </c>
      <c r="E272" s="18">
        <v>2025</v>
      </c>
      <c r="F272" s="18">
        <v>19</v>
      </c>
      <c r="G272" s="19" t="s">
        <v>548</v>
      </c>
      <c r="H272" s="18" t="s">
        <v>1501</v>
      </c>
      <c r="I272" s="18" t="s">
        <v>14</v>
      </c>
      <c r="J272" s="18" t="s">
        <v>14</v>
      </c>
      <c r="K272" s="42">
        <v>45769</v>
      </c>
      <c r="L272" s="42"/>
      <c r="M272" s="42" t="s">
        <v>273</v>
      </c>
      <c r="N272" s="11"/>
      <c r="O272" s="19" t="s">
        <v>1487</v>
      </c>
      <c r="P272" s="7"/>
      <c r="Q272" s="24"/>
      <c r="R272" s="25"/>
      <c r="S272" s="7"/>
      <c r="T272" s="7"/>
      <c r="U272" s="7" t="s">
        <v>603</v>
      </c>
    </row>
    <row r="273" spans="1:21" x14ac:dyDescent="0.3">
      <c r="A273" s="7" t="s">
        <v>1494</v>
      </c>
      <c r="B273" s="7" t="s">
        <v>1315</v>
      </c>
      <c r="C273" s="7" t="s">
        <v>1495</v>
      </c>
      <c r="D273" s="7" t="s">
        <v>1496</v>
      </c>
      <c r="E273" s="18">
        <v>2025</v>
      </c>
      <c r="F273" s="18">
        <v>7</v>
      </c>
      <c r="G273" s="19" t="s">
        <v>14</v>
      </c>
      <c r="H273" s="18">
        <v>22</v>
      </c>
      <c r="I273" s="18" t="s">
        <v>14</v>
      </c>
      <c r="J273" s="18" t="s">
        <v>14</v>
      </c>
      <c r="K273" s="42">
        <v>45772</v>
      </c>
      <c r="L273" s="42"/>
      <c r="M273" s="42" t="s">
        <v>273</v>
      </c>
      <c r="N273" s="11"/>
      <c r="O273" s="19" t="s">
        <v>1497</v>
      </c>
      <c r="P273" s="7"/>
      <c r="Q273" s="24"/>
      <c r="R273" s="25"/>
      <c r="S273" s="7"/>
      <c r="T273" s="7"/>
      <c r="U273" s="7" t="s">
        <v>603</v>
      </c>
    </row>
    <row r="274" spans="1:21" x14ac:dyDescent="0.3">
      <c r="A274" s="7" t="s">
        <v>1507</v>
      </c>
      <c r="B274" s="7" t="s">
        <v>1516</v>
      </c>
      <c r="C274" s="7" t="s">
        <v>723</v>
      </c>
      <c r="D274" s="7" t="s">
        <v>723</v>
      </c>
      <c r="E274" s="18">
        <v>2025</v>
      </c>
      <c r="F274" s="18">
        <v>15</v>
      </c>
      <c r="G274" s="19" t="s">
        <v>111</v>
      </c>
      <c r="H274" s="18" t="s">
        <v>1517</v>
      </c>
      <c r="I274" s="18" t="s">
        <v>14</v>
      </c>
      <c r="J274" s="18" t="s">
        <v>14</v>
      </c>
      <c r="K274" s="42">
        <v>45832</v>
      </c>
      <c r="L274" s="42"/>
      <c r="M274" s="42" t="s">
        <v>273</v>
      </c>
      <c r="N274" s="11"/>
      <c r="O274" s="19" t="s">
        <v>1518</v>
      </c>
      <c r="P274" s="7"/>
      <c r="Q274" s="24"/>
      <c r="R274" s="25"/>
      <c r="S274" s="7"/>
      <c r="T274" s="7"/>
      <c r="U274" s="7" t="s">
        <v>603</v>
      </c>
    </row>
    <row r="275" spans="1:21" x14ac:dyDescent="0.3">
      <c r="A275" s="7" t="s">
        <v>1470</v>
      </c>
      <c r="B275" s="7" t="s">
        <v>1520</v>
      </c>
      <c r="C275" s="7" t="s">
        <v>89</v>
      </c>
      <c r="D275" s="7" t="s">
        <v>89</v>
      </c>
      <c r="E275" s="18">
        <v>2025</v>
      </c>
      <c r="F275" s="18">
        <v>25</v>
      </c>
      <c r="G275" s="19" t="s">
        <v>101</v>
      </c>
      <c r="H275" s="18">
        <v>2375</v>
      </c>
      <c r="I275" s="18" t="s">
        <v>14</v>
      </c>
      <c r="J275" s="18" t="s">
        <v>14</v>
      </c>
      <c r="K275" s="42">
        <v>45841</v>
      </c>
      <c r="L275" s="42"/>
      <c r="M275" s="42" t="s">
        <v>273</v>
      </c>
      <c r="N275" s="11"/>
      <c r="O275" s="19" t="s">
        <v>1521</v>
      </c>
      <c r="P275" s="7"/>
      <c r="Q275" s="24"/>
      <c r="R275" s="25"/>
      <c r="S275" s="7"/>
      <c r="T275" s="7"/>
      <c r="U275" s="7" t="s">
        <v>603</v>
      </c>
    </row>
    <row r="276" spans="1:21" x14ac:dyDescent="0.3">
      <c r="A276" s="7" t="s">
        <v>1489</v>
      </c>
      <c r="B276" s="7" t="s">
        <v>1490</v>
      </c>
      <c r="C276" s="7" t="s">
        <v>267</v>
      </c>
      <c r="D276" s="7" t="s">
        <v>268</v>
      </c>
      <c r="E276" s="18">
        <v>2025</v>
      </c>
      <c r="F276" s="18">
        <v>83</v>
      </c>
      <c r="G276" s="19" t="s">
        <v>101</v>
      </c>
      <c r="H276" s="18">
        <v>185</v>
      </c>
      <c r="I276" s="18" t="s">
        <v>14</v>
      </c>
      <c r="J276" s="18" t="s">
        <v>14</v>
      </c>
      <c r="K276" s="42">
        <v>45849</v>
      </c>
      <c r="L276" s="42"/>
      <c r="M276" s="42" t="s">
        <v>273</v>
      </c>
      <c r="N276" s="11"/>
      <c r="O276" s="19" t="s">
        <v>1522</v>
      </c>
      <c r="P276" s="7"/>
      <c r="Q276" s="24"/>
      <c r="R276" s="25"/>
      <c r="S276" s="7"/>
      <c r="T276" s="7"/>
      <c r="U276" s="7" t="s">
        <v>603</v>
      </c>
    </row>
    <row r="277" spans="1:21" x14ac:dyDescent="0.3">
      <c r="A277" s="7" t="s">
        <v>1450</v>
      </c>
      <c r="B277" s="7" t="s">
        <v>1451</v>
      </c>
      <c r="C277" s="7" t="s">
        <v>89</v>
      </c>
      <c r="D277" s="7" t="s">
        <v>89</v>
      </c>
      <c r="E277" s="18">
        <v>2025</v>
      </c>
      <c r="F277" s="18">
        <v>25</v>
      </c>
      <c r="G277" s="19" t="s">
        <v>101</v>
      </c>
      <c r="H277" s="18">
        <v>2439</v>
      </c>
      <c r="I277" s="18" t="s">
        <v>14</v>
      </c>
      <c r="J277" s="18" t="s">
        <v>14</v>
      </c>
      <c r="K277" s="42">
        <v>45850</v>
      </c>
      <c r="L277" s="42"/>
      <c r="M277" s="42" t="s">
        <v>273</v>
      </c>
      <c r="N277" s="11"/>
      <c r="O277" s="19" t="s">
        <v>1519</v>
      </c>
      <c r="P277" s="7"/>
      <c r="Q277" s="24"/>
      <c r="R277" s="25"/>
      <c r="S277" s="7"/>
      <c r="T277" s="7"/>
      <c r="U277" s="7" t="s">
        <v>603</v>
      </c>
    </row>
    <row r="278" spans="1:21" x14ac:dyDescent="0.3">
      <c r="A278" s="7" t="s">
        <v>1344</v>
      </c>
      <c r="B278" s="7" t="s">
        <v>1513</v>
      </c>
      <c r="C278" s="7" t="s">
        <v>160</v>
      </c>
      <c r="D278" s="7" t="s">
        <v>161</v>
      </c>
      <c r="E278" s="18">
        <v>2025</v>
      </c>
      <c r="F278" s="18">
        <v>19</v>
      </c>
      <c r="G278" s="19" t="s">
        <v>153</v>
      </c>
      <c r="H278" s="18" t="s">
        <v>1514</v>
      </c>
      <c r="I278" s="18" t="s">
        <v>14</v>
      </c>
      <c r="J278" s="18" t="s">
        <v>14</v>
      </c>
      <c r="K278" s="42">
        <v>45859</v>
      </c>
      <c r="L278" s="42"/>
      <c r="M278" s="42" t="s">
        <v>273</v>
      </c>
      <c r="N278" s="11"/>
      <c r="O278" s="19" t="s">
        <v>1515</v>
      </c>
      <c r="P278" s="7"/>
      <c r="Q278" s="24"/>
      <c r="R278" s="25"/>
      <c r="S278" s="7"/>
      <c r="T278" s="7"/>
      <c r="U278" s="7" t="s">
        <v>603</v>
      </c>
    </row>
    <row r="279" spans="1:21" x14ac:dyDescent="0.3">
      <c r="A279" s="7" t="s">
        <v>1536</v>
      </c>
      <c r="B279" s="7" t="s">
        <v>1537</v>
      </c>
      <c r="C279" s="7" t="s">
        <v>267</v>
      </c>
      <c r="D279" s="7" t="s">
        <v>268</v>
      </c>
      <c r="E279" s="18">
        <v>2025</v>
      </c>
      <c r="F279" s="18">
        <v>83</v>
      </c>
      <c r="G279" s="19" t="s">
        <v>101</v>
      </c>
      <c r="H279" s="18">
        <v>215</v>
      </c>
      <c r="I279" s="18" t="s">
        <v>14</v>
      </c>
      <c r="J279" s="18" t="s">
        <v>14</v>
      </c>
      <c r="K279" s="42">
        <v>45891</v>
      </c>
      <c r="L279" s="42"/>
      <c r="M279" s="42" t="s">
        <v>273</v>
      </c>
      <c r="N279" s="11"/>
      <c r="O279" s="19" t="s">
        <v>1538</v>
      </c>
      <c r="P279" s="7"/>
      <c r="Q279" s="24"/>
      <c r="R279" s="25"/>
      <c r="S279" s="7"/>
      <c r="T279" s="7"/>
      <c r="U279" s="7" t="s">
        <v>603</v>
      </c>
    </row>
    <row r="280" spans="1:21" x14ac:dyDescent="0.3">
      <c r="A280" s="7" t="s">
        <v>1093</v>
      </c>
      <c r="B280" s="7" t="s">
        <v>1094</v>
      </c>
      <c r="C280" s="7" t="s">
        <v>1095</v>
      </c>
      <c r="D280" s="7" t="s">
        <v>1096</v>
      </c>
      <c r="E280" s="18">
        <v>2025</v>
      </c>
      <c r="F280" s="18">
        <v>33</v>
      </c>
      <c r="G280" s="19" t="s">
        <v>14</v>
      </c>
      <c r="H280" s="18" t="s">
        <v>14</v>
      </c>
      <c r="I280" s="18">
        <v>2027</v>
      </c>
      <c r="J280" s="18">
        <v>2038</v>
      </c>
      <c r="K280" s="42">
        <v>45901</v>
      </c>
      <c r="L280" s="42"/>
      <c r="M280" s="42" t="s">
        <v>273</v>
      </c>
      <c r="N280" s="11"/>
      <c r="O280" s="19" t="s">
        <v>1264</v>
      </c>
      <c r="P280" s="7"/>
      <c r="Q280" s="24"/>
      <c r="R280" s="25"/>
      <c r="S280" s="7"/>
      <c r="T280" s="7"/>
      <c r="U280" s="7"/>
    </row>
    <row r="281" spans="1:21" x14ac:dyDescent="0.3">
      <c r="A281" s="7" t="s">
        <v>1446</v>
      </c>
      <c r="B281" s="7" t="s">
        <v>1447</v>
      </c>
      <c r="C281" s="7" t="s">
        <v>668</v>
      </c>
      <c r="D281" s="7" t="s">
        <v>669</v>
      </c>
      <c r="E281" s="18">
        <v>2025</v>
      </c>
      <c r="F281" s="18">
        <v>25</v>
      </c>
      <c r="G281" s="19" t="s">
        <v>101</v>
      </c>
      <c r="H281" s="18">
        <v>209</v>
      </c>
      <c r="I281" s="18" t="s">
        <v>14</v>
      </c>
      <c r="J281" s="18" t="s">
        <v>14</v>
      </c>
      <c r="K281" s="42">
        <v>45902</v>
      </c>
      <c r="L281" s="42"/>
      <c r="M281" s="42" t="s">
        <v>273</v>
      </c>
      <c r="N281" s="11"/>
      <c r="O281" s="19" t="s">
        <v>1535</v>
      </c>
      <c r="P281" s="7"/>
      <c r="Q281" s="24"/>
      <c r="R281" s="25"/>
      <c r="S281" s="7"/>
      <c r="T281" s="7"/>
      <c r="U281" s="7" t="s">
        <v>603</v>
      </c>
    </row>
    <row r="282" spans="1:21" x14ac:dyDescent="0.3">
      <c r="A282" s="7" t="s">
        <v>1492</v>
      </c>
      <c r="B282" s="7" t="s">
        <v>1493</v>
      </c>
      <c r="C282" s="7" t="s">
        <v>133</v>
      </c>
      <c r="D282" s="7" t="s">
        <v>134</v>
      </c>
      <c r="E282" s="18">
        <v>2025</v>
      </c>
      <c r="F282" s="18">
        <v>270</v>
      </c>
      <c r="G282" s="19" t="s">
        <v>14</v>
      </c>
      <c r="H282" s="18">
        <v>107828</v>
      </c>
      <c r="I282" s="18" t="s">
        <v>14</v>
      </c>
      <c r="J282" s="18" t="s">
        <v>14</v>
      </c>
      <c r="K282" s="42">
        <v>45931</v>
      </c>
      <c r="L282" s="42"/>
      <c r="M282" s="42" t="s">
        <v>273</v>
      </c>
      <c r="N282" s="11"/>
      <c r="O282" s="19" t="s">
        <v>1534</v>
      </c>
      <c r="P282" s="7"/>
      <c r="Q282" s="24"/>
      <c r="R282" s="25"/>
      <c r="S282" s="7"/>
      <c r="T282" s="7"/>
      <c r="U282" s="7" t="s">
        <v>603</v>
      </c>
    </row>
    <row r="283" spans="1:21" x14ac:dyDescent="0.3">
      <c r="A283" s="7" t="s">
        <v>1448</v>
      </c>
      <c r="B283" s="7" t="s">
        <v>1449</v>
      </c>
      <c r="C283" s="7" t="s">
        <v>267</v>
      </c>
      <c r="D283" s="7" t="s">
        <v>268</v>
      </c>
      <c r="E283" s="18">
        <v>2025</v>
      </c>
      <c r="F283" s="18">
        <v>83</v>
      </c>
      <c r="G283" s="19" t="s">
        <v>101</v>
      </c>
      <c r="H283" s="18">
        <v>256</v>
      </c>
      <c r="I283" s="18" t="s">
        <v>14</v>
      </c>
      <c r="J283" s="18" t="s">
        <v>14</v>
      </c>
      <c r="K283" s="42">
        <v>45953</v>
      </c>
      <c r="L283" s="42"/>
      <c r="M283" s="42" t="s">
        <v>273</v>
      </c>
      <c r="N283" s="11"/>
      <c r="O283" s="19" t="s">
        <v>1540</v>
      </c>
      <c r="P283" s="7"/>
      <c r="Q283" s="24"/>
      <c r="R283" s="25"/>
      <c r="S283" s="7"/>
      <c r="T283" s="7"/>
      <c r="U283" s="7" t="s">
        <v>603</v>
      </c>
    </row>
    <row r="284" spans="1:21" x14ac:dyDescent="0.3">
      <c r="A284" s="7" t="s">
        <v>1466</v>
      </c>
      <c r="B284" s="7" t="s">
        <v>1467</v>
      </c>
      <c r="C284" s="7" t="s">
        <v>287</v>
      </c>
      <c r="D284" s="7" t="s">
        <v>330</v>
      </c>
      <c r="E284" s="18">
        <v>2025</v>
      </c>
      <c r="F284" s="18">
        <v>35</v>
      </c>
      <c r="G284" s="19" t="s">
        <v>111</v>
      </c>
      <c r="H284" s="18" t="s">
        <v>14</v>
      </c>
      <c r="I284" s="18">
        <v>1122</v>
      </c>
      <c r="J284" s="18">
        <v>1128</v>
      </c>
      <c r="K284" s="42">
        <v>45960</v>
      </c>
      <c r="L284" s="42"/>
      <c r="M284" s="42" t="s">
        <v>273</v>
      </c>
      <c r="N284" s="11"/>
      <c r="O284" s="19" t="s">
        <v>1542</v>
      </c>
      <c r="P284" s="7"/>
      <c r="Q284" s="24"/>
      <c r="R284" s="25"/>
      <c r="S284" s="7"/>
      <c r="T284" s="7"/>
      <c r="U284" s="7" t="s">
        <v>603</v>
      </c>
    </row>
    <row r="285" spans="1:21" x14ac:dyDescent="0.3">
      <c r="A285" s="7" t="s">
        <v>1461</v>
      </c>
      <c r="B285" s="7" t="s">
        <v>1462</v>
      </c>
      <c r="C285" s="7" t="s">
        <v>1460</v>
      </c>
      <c r="D285" s="7" t="s">
        <v>1460</v>
      </c>
      <c r="E285" s="18">
        <v>2025</v>
      </c>
      <c r="F285" s="18">
        <v>248</v>
      </c>
      <c r="G285" s="19" t="s">
        <v>14</v>
      </c>
      <c r="H285" s="18">
        <v>105981</v>
      </c>
      <c r="I285" s="18" t="s">
        <v>14</v>
      </c>
      <c r="J285" s="18" t="s">
        <v>14</v>
      </c>
      <c r="K285" s="42">
        <v>45962</v>
      </c>
      <c r="L285" s="42"/>
      <c r="M285" s="42" t="s">
        <v>273</v>
      </c>
      <c r="N285" s="11"/>
      <c r="O285" s="19" t="s">
        <v>1541</v>
      </c>
      <c r="P285" s="7"/>
      <c r="Q285" s="24"/>
      <c r="R285" s="25"/>
      <c r="S285" s="7"/>
      <c r="T285" s="7"/>
      <c r="U285" s="7" t="s">
        <v>603</v>
      </c>
    </row>
    <row r="286" spans="1:21" x14ac:dyDescent="0.3">
      <c r="A286" s="7" t="s">
        <v>1529</v>
      </c>
      <c r="B286" s="7" t="s">
        <v>1533</v>
      </c>
      <c r="C286" s="7" t="s">
        <v>267</v>
      </c>
      <c r="D286" s="7" t="s">
        <v>268</v>
      </c>
      <c r="E286" s="18">
        <v>2025</v>
      </c>
      <c r="F286" s="18">
        <v>83</v>
      </c>
      <c r="G286" s="19" t="s">
        <v>101</v>
      </c>
      <c r="H286" s="18">
        <v>298</v>
      </c>
      <c r="I286" s="18" t="s">
        <v>14</v>
      </c>
      <c r="J286" s="18" t="s">
        <v>14</v>
      </c>
      <c r="K286" s="42">
        <v>46001</v>
      </c>
      <c r="L286" s="42"/>
      <c r="M286" s="42" t="s">
        <v>273</v>
      </c>
      <c r="N286" s="11"/>
      <c r="O286" s="19" t="s">
        <v>1543</v>
      </c>
      <c r="P286" s="7"/>
      <c r="Q286" s="24"/>
      <c r="R286" s="25"/>
      <c r="S286" s="7"/>
      <c r="T286" s="7"/>
      <c r="U286" s="7" t="s">
        <v>603</v>
      </c>
    </row>
    <row r="287" spans="1:21" x14ac:dyDescent="0.3">
      <c r="A287" s="7" t="s">
        <v>1544</v>
      </c>
      <c r="B287" s="7" t="s">
        <v>1548</v>
      </c>
      <c r="C287" s="7" t="s">
        <v>1547</v>
      </c>
      <c r="D287" s="7" t="s">
        <v>1546</v>
      </c>
      <c r="E287" s="18">
        <v>2025</v>
      </c>
      <c r="F287" s="18">
        <v>28</v>
      </c>
      <c r="G287" s="19" t="s">
        <v>14</v>
      </c>
      <c r="H287" s="18">
        <v>41</v>
      </c>
      <c r="I287" s="18" t="s">
        <v>14</v>
      </c>
      <c r="J287" s="18" t="s">
        <v>14</v>
      </c>
      <c r="K287" s="42">
        <v>46019</v>
      </c>
      <c r="L287" s="42"/>
      <c r="M287" s="42" t="s">
        <v>273</v>
      </c>
      <c r="N287" s="11"/>
      <c r="O287" s="19" t="s">
        <v>1545</v>
      </c>
      <c r="P287" s="7"/>
      <c r="Q287" s="24"/>
      <c r="R287" s="25"/>
      <c r="S287" s="7"/>
      <c r="T287" s="7"/>
      <c r="U287" s="7"/>
    </row>
    <row r="288" spans="1:21" x14ac:dyDescent="0.3">
      <c r="A288" s="7" t="s">
        <v>1509</v>
      </c>
      <c r="B288" s="7" t="s">
        <v>1510</v>
      </c>
      <c r="C288" s="7" t="s">
        <v>1550</v>
      </c>
      <c r="D288" s="7" t="s">
        <v>1551</v>
      </c>
      <c r="E288" s="18">
        <v>2026</v>
      </c>
      <c r="F288" s="18">
        <v>26</v>
      </c>
      <c r="G288" s="19" t="s">
        <v>14</v>
      </c>
      <c r="H288" s="18">
        <v>266</v>
      </c>
      <c r="I288" s="18" t="s">
        <v>14</v>
      </c>
      <c r="J288" s="18" t="s">
        <v>14</v>
      </c>
      <c r="K288" s="42">
        <v>46046</v>
      </c>
      <c r="L288" s="42"/>
      <c r="M288" s="42" t="s">
        <v>273</v>
      </c>
      <c r="N288" s="11"/>
      <c r="O288" s="19" t="s">
        <v>1570</v>
      </c>
      <c r="P288" s="7"/>
      <c r="Q288" s="24"/>
      <c r="R288" s="25"/>
      <c r="S288" s="7"/>
      <c r="T288" s="7"/>
      <c r="U288" s="7"/>
    </row>
    <row r="289" spans="1:21" x14ac:dyDescent="0.3">
      <c r="A289" s="7" t="s">
        <v>1567</v>
      </c>
      <c r="B289" s="7" t="s">
        <v>1324</v>
      </c>
      <c r="C289" s="7" t="s">
        <v>252</v>
      </c>
      <c r="D289" s="7" t="s">
        <v>344</v>
      </c>
      <c r="E289" s="18">
        <v>2026</v>
      </c>
      <c r="F289" s="18">
        <v>26</v>
      </c>
      <c r="G289" s="19" t="s">
        <v>14</v>
      </c>
      <c r="H289" s="18">
        <v>497</v>
      </c>
      <c r="I289" s="18" t="s">
        <v>14</v>
      </c>
      <c r="J289" s="18" t="s">
        <v>14</v>
      </c>
      <c r="K289" s="42">
        <v>46072</v>
      </c>
      <c r="L289" s="42"/>
      <c r="M289" s="42" t="s">
        <v>273</v>
      </c>
      <c r="N289" s="11"/>
      <c r="O289" s="19" t="s">
        <v>1568</v>
      </c>
      <c r="P289" s="7"/>
      <c r="Q289" s="24"/>
      <c r="R289" s="25"/>
      <c r="S289" s="7"/>
      <c r="T289" s="7"/>
      <c r="U289" s="7"/>
    </row>
    <row r="290" spans="1:21" x14ac:dyDescent="0.3">
      <c r="A290" s="7" t="s">
        <v>1574</v>
      </c>
      <c r="B290" s="7" t="s">
        <v>1595</v>
      </c>
      <c r="C290" s="7" t="s">
        <v>415</v>
      </c>
      <c r="D290" s="7" t="s">
        <v>1575</v>
      </c>
      <c r="E290" s="18">
        <v>2026</v>
      </c>
      <c r="F290" s="18">
        <v>43</v>
      </c>
      <c r="G290" s="19" t="s">
        <v>14</v>
      </c>
      <c r="H290" s="18" t="s">
        <v>1576</v>
      </c>
      <c r="I290" s="18" t="s">
        <v>14</v>
      </c>
      <c r="J290" s="18" t="s">
        <v>14</v>
      </c>
      <c r="K290" s="42">
        <v>46088</v>
      </c>
      <c r="L290" s="42"/>
      <c r="M290" s="42" t="s">
        <v>273</v>
      </c>
      <c r="N290" s="11"/>
      <c r="O290" s="19" t="s">
        <v>1577</v>
      </c>
      <c r="P290" s="7"/>
      <c r="Q290" s="24"/>
      <c r="R290" s="25"/>
      <c r="S290" s="7"/>
      <c r="T290" s="7"/>
      <c r="U290" s="7"/>
    </row>
    <row r="291" spans="1:21" x14ac:dyDescent="0.3">
      <c r="A291" s="7" t="s">
        <v>1539</v>
      </c>
      <c r="B291" s="7" t="s">
        <v>1598</v>
      </c>
      <c r="C291" s="7" t="s">
        <v>108</v>
      </c>
      <c r="D291" s="7" t="s">
        <v>109</v>
      </c>
      <c r="E291" s="18">
        <v>2026</v>
      </c>
      <c r="F291" s="18" t="s">
        <v>14</v>
      </c>
      <c r="G291" s="19" t="s">
        <v>14</v>
      </c>
      <c r="H291" s="18" t="s">
        <v>14</v>
      </c>
      <c r="I291" s="18" t="s">
        <v>14</v>
      </c>
      <c r="J291" s="18" t="s">
        <v>14</v>
      </c>
      <c r="K291" s="42">
        <v>46098</v>
      </c>
      <c r="L291" s="42"/>
      <c r="M291" s="42" t="s">
        <v>273</v>
      </c>
      <c r="N291" s="11"/>
      <c r="O291" s="19" t="s">
        <v>1566</v>
      </c>
      <c r="P291" s="7"/>
      <c r="Q291" s="24"/>
      <c r="R291" s="25"/>
      <c r="S291" s="7"/>
      <c r="T291" s="7"/>
      <c r="U291" s="7"/>
    </row>
    <row r="292" spans="1:21" x14ac:dyDescent="0.3">
      <c r="A292" s="7" t="s">
        <v>1530</v>
      </c>
      <c r="B292" s="7" t="s">
        <v>1531</v>
      </c>
      <c r="C292" s="7" t="s">
        <v>89</v>
      </c>
      <c r="D292" s="7" t="s">
        <v>89</v>
      </c>
      <c r="E292" s="18">
        <v>2026</v>
      </c>
      <c r="F292" s="18" t="s">
        <v>14</v>
      </c>
      <c r="G292" s="19" t="s">
        <v>14</v>
      </c>
      <c r="H292" s="18" t="s">
        <v>14</v>
      </c>
      <c r="I292" s="18" t="s">
        <v>14</v>
      </c>
      <c r="J292" s="18" t="s">
        <v>14</v>
      </c>
      <c r="K292" s="42">
        <v>46106</v>
      </c>
      <c r="L292" s="42"/>
      <c r="M292" s="42" t="s">
        <v>273</v>
      </c>
      <c r="N292" s="11"/>
      <c r="O292" s="19" t="s">
        <v>1565</v>
      </c>
      <c r="P292" s="7"/>
      <c r="Q292" s="24"/>
      <c r="R292" s="25"/>
      <c r="S292" s="7"/>
      <c r="T292" s="7"/>
      <c r="U292" s="7"/>
    </row>
    <row r="293" spans="1:21" x14ac:dyDescent="0.3">
      <c r="A293" s="7" t="s">
        <v>1504</v>
      </c>
      <c r="B293" s="7" t="s">
        <v>1505</v>
      </c>
      <c r="C293" s="7" t="s">
        <v>108</v>
      </c>
      <c r="D293" s="7" t="s">
        <v>109</v>
      </c>
      <c r="E293" s="18">
        <v>2026</v>
      </c>
      <c r="F293" s="18">
        <v>24</v>
      </c>
      <c r="G293" s="19" t="s">
        <v>14</v>
      </c>
      <c r="H293" s="18">
        <v>21</v>
      </c>
      <c r="I293" s="18" t="s">
        <v>14</v>
      </c>
      <c r="J293" s="18" t="s">
        <v>14</v>
      </c>
      <c r="K293" s="42">
        <v>46107</v>
      </c>
      <c r="L293" s="42"/>
      <c r="M293" s="42" t="s">
        <v>273</v>
      </c>
      <c r="N293" s="11"/>
      <c r="O293" s="19" t="s">
        <v>1564</v>
      </c>
      <c r="P293" s="7"/>
      <c r="Q293" s="24"/>
      <c r="R293" s="25"/>
      <c r="S293" s="7"/>
      <c r="T293" s="7"/>
      <c r="U293" s="7"/>
    </row>
    <row r="294" spans="1:21" x14ac:dyDescent="0.3">
      <c r="A294" s="7" t="s">
        <v>1527</v>
      </c>
      <c r="B294" s="7" t="s">
        <v>1528</v>
      </c>
      <c r="C294" s="7" t="s">
        <v>1561</v>
      </c>
      <c r="D294" s="7" t="s">
        <v>1562</v>
      </c>
      <c r="E294" s="18">
        <v>2026</v>
      </c>
      <c r="F294" s="18" t="s">
        <v>14</v>
      </c>
      <c r="G294" s="19" t="s">
        <v>14</v>
      </c>
      <c r="H294" s="18" t="s">
        <v>14</v>
      </c>
      <c r="I294" s="18" t="s">
        <v>14</v>
      </c>
      <c r="J294" s="18" t="s">
        <v>14</v>
      </c>
      <c r="K294" s="42">
        <v>46118</v>
      </c>
      <c r="L294" s="42"/>
      <c r="M294" s="42" t="s">
        <v>273</v>
      </c>
      <c r="N294" s="11"/>
      <c r="O294" s="19" t="s">
        <v>1563</v>
      </c>
      <c r="P294" s="7"/>
      <c r="Q294" s="24"/>
      <c r="R294" s="25"/>
      <c r="S294" s="7"/>
      <c r="T294" s="7"/>
      <c r="U294" s="7"/>
    </row>
    <row r="295" spans="1:21" x14ac:dyDescent="0.3">
      <c r="A295" s="7" t="s">
        <v>1592</v>
      </c>
      <c r="B295" s="7" t="s">
        <v>1593</v>
      </c>
      <c r="C295" s="7" t="s">
        <v>419</v>
      </c>
      <c r="D295" s="7" t="s">
        <v>419</v>
      </c>
      <c r="E295" s="18">
        <v>2026</v>
      </c>
      <c r="F295" s="18">
        <v>22</v>
      </c>
      <c r="G295" s="19" t="s">
        <v>14</v>
      </c>
      <c r="H295" s="18">
        <v>101417</v>
      </c>
      <c r="I295" s="18" t="s">
        <v>14</v>
      </c>
      <c r="J295" s="18" t="s">
        <v>14</v>
      </c>
      <c r="K295" s="42">
        <v>46133</v>
      </c>
      <c r="L295" s="42"/>
      <c r="M295" s="42" t="s">
        <v>273</v>
      </c>
      <c r="N295" s="11"/>
      <c r="O295" s="19" t="s">
        <v>1594</v>
      </c>
      <c r="P295" s="7"/>
      <c r="Q295" s="24"/>
      <c r="R295" s="25"/>
      <c r="S295" s="7"/>
      <c r="T295" s="7"/>
      <c r="U295" s="7"/>
    </row>
    <row r="296" spans="1:21" x14ac:dyDescent="0.3">
      <c r="A296" s="7" t="s">
        <v>1523</v>
      </c>
      <c r="B296" s="7" t="s">
        <v>1586</v>
      </c>
      <c r="C296" s="7" t="s">
        <v>1524</v>
      </c>
      <c r="D296" s="7" t="s">
        <v>1525</v>
      </c>
      <c r="E296" s="18">
        <v>2026</v>
      </c>
      <c r="F296" s="18" t="s">
        <v>14</v>
      </c>
      <c r="G296" s="19" t="s">
        <v>14</v>
      </c>
      <c r="H296" s="18" t="s">
        <v>14</v>
      </c>
      <c r="I296" s="18" t="s">
        <v>14</v>
      </c>
      <c r="J296" s="18" t="s">
        <v>14</v>
      </c>
      <c r="K296" s="42">
        <v>46155</v>
      </c>
      <c r="L296" s="42"/>
      <c r="M296" s="42" t="s">
        <v>273</v>
      </c>
      <c r="N296" s="11"/>
      <c r="O296" s="19" t="s">
        <v>1587</v>
      </c>
      <c r="P296" s="7"/>
      <c r="Q296" s="24"/>
      <c r="R296" s="25"/>
      <c r="S296" s="7"/>
      <c r="T296" s="7"/>
      <c r="U296" s="7"/>
    </row>
    <row r="297" spans="1:21" x14ac:dyDescent="0.3">
      <c r="A297" s="7" t="s">
        <v>1588</v>
      </c>
      <c r="B297" s="7" t="s">
        <v>1589</v>
      </c>
      <c r="C297" s="7" t="s">
        <v>774</v>
      </c>
      <c r="D297" s="7" t="s">
        <v>775</v>
      </c>
      <c r="E297" s="18">
        <v>2026</v>
      </c>
      <c r="F297" s="18">
        <v>407</v>
      </c>
      <c r="G297" s="19" t="s">
        <v>1591</v>
      </c>
      <c r="H297" s="18" t="s">
        <v>14</v>
      </c>
      <c r="I297" s="18">
        <v>1915</v>
      </c>
      <c r="J297" s="18">
        <v>1916</v>
      </c>
      <c r="K297" s="42">
        <v>46158</v>
      </c>
      <c r="L297" s="42"/>
      <c r="M297" s="42" t="s">
        <v>273</v>
      </c>
      <c r="N297" s="11"/>
      <c r="O297" s="19" t="s">
        <v>1590</v>
      </c>
      <c r="P297" s="7"/>
      <c r="Q297" s="24"/>
      <c r="R297" s="25"/>
      <c r="S297" s="7"/>
      <c r="T297" s="7"/>
      <c r="U297" s="7"/>
    </row>
    <row r="298" spans="1:21" x14ac:dyDescent="0.3">
      <c r="A298" s="13" t="s">
        <v>1452</v>
      </c>
      <c r="B298" s="13" t="s">
        <v>1319</v>
      </c>
      <c r="C298" s="13" t="s">
        <v>89</v>
      </c>
      <c r="D298" s="13" t="s">
        <v>89</v>
      </c>
      <c r="E298" s="14">
        <v>2026</v>
      </c>
      <c r="F298" s="43" t="s">
        <v>14</v>
      </c>
      <c r="G298" s="44" t="s">
        <v>14</v>
      </c>
      <c r="H298" s="43" t="s">
        <v>14</v>
      </c>
      <c r="I298" s="43" t="s">
        <v>14</v>
      </c>
      <c r="J298" s="43" t="s">
        <v>14</v>
      </c>
      <c r="K298" s="31">
        <v>46389</v>
      </c>
      <c r="L298" s="31"/>
      <c r="M298" s="31" t="s">
        <v>273</v>
      </c>
      <c r="N298" s="45"/>
      <c r="O298" s="44" t="s">
        <v>1569</v>
      </c>
      <c r="P298" s="27"/>
      <c r="Q298" s="24"/>
      <c r="R298" s="25"/>
      <c r="S298" s="7"/>
      <c r="T298" s="7"/>
      <c r="U298" s="7"/>
    </row>
    <row r="299" spans="1:21" x14ac:dyDescent="0.3">
      <c r="A299" s="13" t="s">
        <v>1333</v>
      </c>
      <c r="B299" s="13" t="s">
        <v>1334</v>
      </c>
      <c r="C299" s="13" t="s">
        <v>1095</v>
      </c>
      <c r="D299" s="13" t="s">
        <v>1096</v>
      </c>
      <c r="E299" s="14">
        <v>2026</v>
      </c>
      <c r="F299" s="43" t="s">
        <v>14</v>
      </c>
      <c r="G299" s="44" t="s">
        <v>14</v>
      </c>
      <c r="H299" s="43" t="s">
        <v>14</v>
      </c>
      <c r="I299" s="43" t="s">
        <v>14</v>
      </c>
      <c r="J299" s="43" t="s">
        <v>14</v>
      </c>
      <c r="K299" s="31">
        <v>46390</v>
      </c>
      <c r="L299" s="31"/>
      <c r="M299" s="31" t="s">
        <v>273</v>
      </c>
      <c r="N299" s="45"/>
      <c r="O299" s="44" t="s">
        <v>1556</v>
      </c>
      <c r="P299" s="27"/>
      <c r="Q299" s="24"/>
      <c r="R299" s="25"/>
      <c r="S299" s="7"/>
      <c r="T299" s="7"/>
      <c r="U299" s="7"/>
    </row>
    <row r="300" spans="1:21" x14ac:dyDescent="0.3">
      <c r="A300" s="13" t="s">
        <v>1596</v>
      </c>
      <c r="B300" s="13" t="s">
        <v>1597</v>
      </c>
      <c r="C300" s="13" t="s">
        <v>1473</v>
      </c>
      <c r="D300" s="13" t="s">
        <v>1474</v>
      </c>
      <c r="E300" s="14">
        <v>2026</v>
      </c>
      <c r="F300" s="43" t="s">
        <v>14</v>
      </c>
      <c r="G300" s="44" t="s">
        <v>14</v>
      </c>
      <c r="H300" s="43" t="s">
        <v>14</v>
      </c>
      <c r="I300" s="43" t="s">
        <v>14</v>
      </c>
      <c r="J300" s="43" t="s">
        <v>14</v>
      </c>
      <c r="K300" s="31">
        <v>46391</v>
      </c>
      <c r="L300" s="31"/>
      <c r="M300" s="31" t="s">
        <v>273</v>
      </c>
      <c r="N300" s="45"/>
      <c r="O300" s="44"/>
      <c r="P300" s="27"/>
      <c r="Q300" s="24"/>
      <c r="R300" s="25"/>
      <c r="S300" s="7"/>
      <c r="T300" s="7"/>
      <c r="U300" s="7"/>
    </row>
    <row r="301" spans="1:21" x14ac:dyDescent="0.3">
      <c r="A301" s="13" t="s">
        <v>1599</v>
      </c>
      <c r="B301" s="13" t="s">
        <v>1552</v>
      </c>
      <c r="C301" s="13" t="s">
        <v>108</v>
      </c>
      <c r="D301" s="13" t="s">
        <v>109</v>
      </c>
      <c r="E301" s="14">
        <v>2026</v>
      </c>
      <c r="F301" s="43" t="s">
        <v>14</v>
      </c>
      <c r="G301" s="44" t="s">
        <v>14</v>
      </c>
      <c r="H301" s="43" t="s">
        <v>14</v>
      </c>
      <c r="I301" s="43" t="s">
        <v>14</v>
      </c>
      <c r="J301" s="43" t="s">
        <v>14</v>
      </c>
      <c r="K301" s="31">
        <v>46392</v>
      </c>
      <c r="L301" s="31"/>
      <c r="M301" s="31" t="s">
        <v>273</v>
      </c>
      <c r="N301" s="45"/>
      <c r="O301" s="44"/>
      <c r="P301" s="27"/>
      <c r="Q301" s="24"/>
      <c r="R301" s="25"/>
      <c r="S301" s="7"/>
      <c r="T301" s="7"/>
      <c r="U301" s="7"/>
    </row>
  </sheetData>
  <conditionalFormatting sqref="T1:U112 T114:U231 V246:V247 T232:V240 V241:V242 T241:T242 T243:V245 T246:U246 T248:V1048576">
    <cfRule type="cellIs" dxfId="12" priority="31" operator="equal">
      <formula>"N/A"</formula>
    </cfRule>
    <cfRule type="cellIs" dxfId="11" priority="32" operator="equal">
      <formula>"OK"</formula>
    </cfRule>
  </conditionalFormatting>
  <conditionalFormatting sqref="T113:U113">
    <cfRule type="cellIs" dxfId="10" priority="29" operator="equal">
      <formula>"N/A"</formula>
    </cfRule>
    <cfRule type="cellIs" dxfId="9" priority="30" operator="equal">
      <formula>"OK"</formula>
    </cfRule>
  </conditionalFormatting>
  <conditionalFormatting sqref="U241:U242">
    <cfRule type="cellIs" dxfId="8" priority="3" operator="equal">
      <formula>"N/A"</formula>
    </cfRule>
    <cfRule type="cellIs" dxfId="7" priority="4" operator="equal">
      <formula>"OK"</formula>
    </cfRule>
  </conditionalFormatting>
  <conditionalFormatting sqref="T247:U247">
    <cfRule type="cellIs" dxfId="6" priority="1" operator="equal">
      <formula>"N/A"</formula>
    </cfRule>
    <cfRule type="cellIs" dxfId="5" priority="2" operator="equal">
      <formula>"OK"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zoomScale="90" zoomScaleNormal="90" workbookViewId="0">
      <selection activeCell="A12" sqref="A12"/>
    </sheetView>
  </sheetViews>
  <sheetFormatPr defaultRowHeight="14.4" x14ac:dyDescent="0.3"/>
  <cols>
    <col min="1" max="3" width="30.6640625" customWidth="1"/>
    <col min="4" max="4" width="24.109375" customWidth="1"/>
    <col min="6" max="7" width="8.88671875" style="2"/>
    <col min="8" max="8" width="11.5546875" style="2" bestFit="1" customWidth="1"/>
    <col min="9" max="9" width="10.6640625" bestFit="1" customWidth="1"/>
    <col min="10" max="10" width="35.6640625" style="2" bestFit="1" customWidth="1"/>
  </cols>
  <sheetData>
    <row r="1" spans="1:10" s="3" customFormat="1" x14ac:dyDescent="0.3">
      <c r="A1" s="5" t="s">
        <v>0</v>
      </c>
      <c r="B1" s="5" t="s">
        <v>1</v>
      </c>
      <c r="C1" s="5" t="s">
        <v>279</v>
      </c>
      <c r="D1" s="5" t="s">
        <v>275</v>
      </c>
      <c r="E1" s="5" t="s">
        <v>7</v>
      </c>
      <c r="F1" s="5" t="s">
        <v>5</v>
      </c>
      <c r="G1" s="5" t="s">
        <v>6</v>
      </c>
      <c r="H1" s="5" t="s">
        <v>8</v>
      </c>
      <c r="I1" s="5" t="s">
        <v>32</v>
      </c>
      <c r="J1" s="5" t="s">
        <v>175</v>
      </c>
    </row>
    <row r="2" spans="1:10" x14ac:dyDescent="0.3">
      <c r="A2" s="7" t="s">
        <v>95</v>
      </c>
      <c r="B2" s="7" t="s">
        <v>96</v>
      </c>
      <c r="C2" s="7" t="s">
        <v>282</v>
      </c>
      <c r="D2" s="7" t="s">
        <v>278</v>
      </c>
      <c r="E2" s="8">
        <v>2015</v>
      </c>
      <c r="F2" s="8">
        <v>193</v>
      </c>
      <c r="G2" s="8">
        <v>247</v>
      </c>
      <c r="H2" s="10">
        <v>42064</v>
      </c>
      <c r="I2" s="11">
        <v>4.8289999999999997</v>
      </c>
      <c r="J2" s="9" t="s">
        <v>204</v>
      </c>
    </row>
    <row r="3" spans="1:10" x14ac:dyDescent="0.3">
      <c r="A3" s="7" t="s">
        <v>276</v>
      </c>
      <c r="B3" s="7" t="s">
        <v>245</v>
      </c>
      <c r="C3" s="7" t="s">
        <v>280</v>
      </c>
      <c r="D3" s="7" t="s">
        <v>283</v>
      </c>
      <c r="E3" s="18">
        <v>2017</v>
      </c>
      <c r="F3" s="18">
        <v>27</v>
      </c>
      <c r="G3" s="18">
        <v>40</v>
      </c>
      <c r="H3" s="10">
        <v>42653</v>
      </c>
      <c r="I3" s="11"/>
      <c r="J3" s="19" t="s">
        <v>271</v>
      </c>
    </row>
    <row r="4" spans="1:10" x14ac:dyDescent="0.3">
      <c r="A4" s="7" t="s">
        <v>277</v>
      </c>
      <c r="B4" s="7" t="s">
        <v>244</v>
      </c>
      <c r="C4" s="7" t="s">
        <v>281</v>
      </c>
      <c r="D4" s="7" t="s">
        <v>284</v>
      </c>
      <c r="E4" s="18">
        <v>2018</v>
      </c>
      <c r="F4" s="18">
        <v>341</v>
      </c>
      <c r="G4" s="18">
        <v>365</v>
      </c>
      <c r="H4" s="10">
        <v>43126</v>
      </c>
      <c r="I4" s="11"/>
      <c r="J4" s="19" t="s">
        <v>423</v>
      </c>
    </row>
    <row r="5" spans="1:10" x14ac:dyDescent="0.3">
      <c r="A5" s="7" t="s">
        <v>486</v>
      </c>
      <c r="B5" s="7" t="s">
        <v>488</v>
      </c>
      <c r="C5" s="7" t="s">
        <v>487</v>
      </c>
      <c r="D5" s="7" t="s">
        <v>485</v>
      </c>
      <c r="E5" s="18">
        <v>2018</v>
      </c>
      <c r="F5" s="18">
        <v>83</v>
      </c>
      <c r="G5" s="18">
        <v>106</v>
      </c>
      <c r="H5" s="10">
        <v>43455</v>
      </c>
      <c r="I5" s="11"/>
      <c r="J5" s="19" t="s">
        <v>501</v>
      </c>
    </row>
    <row r="6" spans="1:10" x14ac:dyDescent="0.3">
      <c r="A6" s="7" t="s">
        <v>489</v>
      </c>
      <c r="B6" s="7" t="s">
        <v>490</v>
      </c>
      <c r="C6" s="7" t="s">
        <v>487</v>
      </c>
      <c r="D6" s="7" t="s">
        <v>485</v>
      </c>
      <c r="E6" s="18">
        <v>2018</v>
      </c>
      <c r="F6" s="18">
        <v>107</v>
      </c>
      <c r="G6" s="18">
        <v>122</v>
      </c>
      <c r="H6" s="10">
        <v>43455</v>
      </c>
      <c r="I6" s="11"/>
      <c r="J6" s="19" t="s">
        <v>502</v>
      </c>
    </row>
    <row r="7" spans="1:10" x14ac:dyDescent="0.3">
      <c r="A7" s="7" t="s">
        <v>491</v>
      </c>
      <c r="B7" s="7" t="s">
        <v>492</v>
      </c>
      <c r="C7" s="7" t="s">
        <v>487</v>
      </c>
      <c r="D7" s="7" t="s">
        <v>485</v>
      </c>
      <c r="E7" s="18">
        <v>2018</v>
      </c>
      <c r="F7" s="18">
        <v>143</v>
      </c>
      <c r="G7" s="18">
        <v>174</v>
      </c>
      <c r="H7" s="10">
        <v>43455</v>
      </c>
      <c r="I7" s="11"/>
      <c r="J7" s="19" t="s">
        <v>503</v>
      </c>
    </row>
    <row r="8" spans="1:10" x14ac:dyDescent="0.3">
      <c r="A8" s="7" t="s">
        <v>724</v>
      </c>
      <c r="B8" s="7" t="s">
        <v>725</v>
      </c>
      <c r="C8" s="7" t="s">
        <v>726</v>
      </c>
      <c r="D8" s="7" t="s">
        <v>727</v>
      </c>
      <c r="E8" s="18">
        <v>2021</v>
      </c>
      <c r="F8" s="18">
        <v>47</v>
      </c>
      <c r="G8" s="18">
        <v>78</v>
      </c>
      <c r="H8" s="42">
        <v>44134</v>
      </c>
      <c r="I8" s="11"/>
      <c r="J8" s="19" t="s">
        <v>753</v>
      </c>
    </row>
    <row r="9" spans="1:10" x14ac:dyDescent="0.3">
      <c r="A9" s="7" t="s">
        <v>904</v>
      </c>
      <c r="B9" s="7" t="s">
        <v>784</v>
      </c>
      <c r="C9" s="7" t="s">
        <v>788</v>
      </c>
      <c r="D9" s="7" t="s">
        <v>787</v>
      </c>
      <c r="E9" s="18">
        <v>2021</v>
      </c>
      <c r="F9" s="18">
        <v>3</v>
      </c>
      <c r="G9" s="18">
        <v>17</v>
      </c>
      <c r="H9" s="42">
        <v>44386</v>
      </c>
      <c r="I9" s="11"/>
      <c r="J9" s="19" t="s">
        <v>825</v>
      </c>
    </row>
    <row r="10" spans="1:10" x14ac:dyDescent="0.3">
      <c r="A10" s="7" t="s">
        <v>899</v>
      </c>
      <c r="B10" s="7" t="s">
        <v>900</v>
      </c>
      <c r="C10" s="47" t="s">
        <v>901</v>
      </c>
      <c r="D10" s="7" t="s">
        <v>902</v>
      </c>
      <c r="E10" s="18">
        <v>2022</v>
      </c>
      <c r="F10" s="18">
        <v>69</v>
      </c>
      <c r="G10" s="18">
        <v>82</v>
      </c>
      <c r="H10" s="42">
        <v>44562</v>
      </c>
      <c r="I10" s="11"/>
      <c r="J10" s="19" t="s">
        <v>903</v>
      </c>
    </row>
    <row r="11" spans="1:10" x14ac:dyDescent="0.3">
      <c r="A11" s="7" t="s">
        <v>945</v>
      </c>
      <c r="B11" s="7" t="s">
        <v>946</v>
      </c>
      <c r="C11" s="7" t="s">
        <v>949</v>
      </c>
      <c r="D11" s="7" t="s">
        <v>948</v>
      </c>
      <c r="E11" s="18">
        <v>2023</v>
      </c>
      <c r="F11" s="18" t="s">
        <v>14</v>
      </c>
      <c r="G11" s="18" t="s">
        <v>14</v>
      </c>
      <c r="H11" s="42">
        <v>44927</v>
      </c>
      <c r="I11" s="11"/>
      <c r="J11" s="19" t="s">
        <v>947</v>
      </c>
    </row>
    <row r="12" spans="1:10" x14ac:dyDescent="0.3">
      <c r="A12" s="7" t="s">
        <v>1134</v>
      </c>
      <c r="B12" s="7" t="s">
        <v>1133</v>
      </c>
      <c r="C12" s="7" t="s">
        <v>949</v>
      </c>
      <c r="D12" s="7" t="s">
        <v>948</v>
      </c>
      <c r="E12" s="18">
        <v>2023</v>
      </c>
      <c r="F12" s="18" t="s">
        <v>14</v>
      </c>
      <c r="G12" s="18" t="s">
        <v>14</v>
      </c>
      <c r="H12" s="42">
        <v>44927</v>
      </c>
      <c r="I12" s="11"/>
      <c r="J12" s="19" t="s">
        <v>1135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zoomScale="90" zoomScaleNormal="90" workbookViewId="0">
      <selection activeCell="A16" sqref="A16"/>
    </sheetView>
  </sheetViews>
  <sheetFormatPr defaultRowHeight="14.4" x14ac:dyDescent="0.3"/>
  <cols>
    <col min="1" max="2" width="40.6640625" customWidth="1"/>
    <col min="3" max="4" width="16.6640625" customWidth="1"/>
    <col min="5" max="5" width="16.6640625" style="15" customWidth="1"/>
    <col min="6" max="6" width="12.6640625" style="2" customWidth="1"/>
    <col min="7" max="7" width="11.6640625" bestFit="1" customWidth="1"/>
  </cols>
  <sheetData>
    <row r="1" spans="1:11" s="3" customFormat="1" x14ac:dyDescent="0.3">
      <c r="A1" s="7" t="s">
        <v>0</v>
      </c>
      <c r="B1" s="7" t="s">
        <v>1</v>
      </c>
      <c r="C1" s="5" t="s">
        <v>10</v>
      </c>
      <c r="D1" s="5" t="s">
        <v>11</v>
      </c>
      <c r="E1" s="16" t="s">
        <v>926</v>
      </c>
      <c r="F1" s="5" t="s">
        <v>8</v>
      </c>
      <c r="G1" s="5" t="s">
        <v>162</v>
      </c>
      <c r="I1" s="55" t="str">
        <f ca="1">ROUND(J1/30,0)&amp;" md"</f>
        <v>8 md</v>
      </c>
      <c r="J1" s="55">
        <f ca="1">AVERAGE(G:G)</f>
        <v>230.8</v>
      </c>
      <c r="K1" s="54" t="s">
        <v>1164</v>
      </c>
    </row>
    <row r="2" spans="1:11" x14ac:dyDescent="0.3">
      <c r="A2" s="7" t="s">
        <v>1305</v>
      </c>
      <c r="B2" s="7" t="s">
        <v>1306</v>
      </c>
      <c r="C2" s="7" t="s">
        <v>1322</v>
      </c>
      <c r="D2" s="7" t="s">
        <v>1323</v>
      </c>
      <c r="E2" s="7"/>
      <c r="F2" s="10">
        <v>45488</v>
      </c>
      <c r="G2" s="12">
        <f t="shared" ref="G2:G16" ca="1" si="0">TODAY()-F2</f>
        <v>671</v>
      </c>
    </row>
    <row r="3" spans="1:11" x14ac:dyDescent="0.3">
      <c r="A3" s="7" t="s">
        <v>1330</v>
      </c>
      <c r="B3" s="7" t="s">
        <v>1331</v>
      </c>
      <c r="C3" s="7" t="s">
        <v>1329</v>
      </c>
      <c r="D3" s="7" t="s">
        <v>1332</v>
      </c>
      <c r="E3" s="7"/>
      <c r="F3" s="10">
        <v>45562</v>
      </c>
      <c r="G3" s="12">
        <f t="shared" ca="1" si="0"/>
        <v>597</v>
      </c>
    </row>
    <row r="4" spans="1:11" x14ac:dyDescent="0.3">
      <c r="A4" s="7" t="s">
        <v>1313</v>
      </c>
      <c r="B4" s="7" t="s">
        <v>1317</v>
      </c>
      <c r="C4" s="7" t="s">
        <v>723</v>
      </c>
      <c r="D4" s="7" t="s">
        <v>723</v>
      </c>
      <c r="E4" s="7"/>
      <c r="F4" s="10">
        <v>45705</v>
      </c>
      <c r="G4" s="12">
        <f t="shared" ca="1" si="0"/>
        <v>454</v>
      </c>
    </row>
    <row r="5" spans="1:11" x14ac:dyDescent="0.3">
      <c r="A5" s="7" t="s">
        <v>1506</v>
      </c>
      <c r="B5" s="7" t="s">
        <v>1508</v>
      </c>
      <c r="C5" s="7" t="s">
        <v>89</v>
      </c>
      <c r="D5" s="7" t="s">
        <v>89</v>
      </c>
      <c r="E5" s="7"/>
      <c r="F5" s="10">
        <v>45764</v>
      </c>
      <c r="G5" s="12">
        <f t="shared" ca="1" si="0"/>
        <v>395</v>
      </c>
    </row>
    <row r="6" spans="1:11" x14ac:dyDescent="0.3">
      <c r="A6" s="7" t="s">
        <v>1526</v>
      </c>
      <c r="B6" s="7" t="s">
        <v>1532</v>
      </c>
      <c r="C6" s="7" t="s">
        <v>1024</v>
      </c>
      <c r="D6" s="7" t="s">
        <v>1026</v>
      </c>
      <c r="E6" s="7"/>
      <c r="F6" s="10">
        <v>45860</v>
      </c>
      <c r="G6" s="12">
        <f t="shared" ca="1" si="0"/>
        <v>299</v>
      </c>
    </row>
    <row r="7" spans="1:11" x14ac:dyDescent="0.3">
      <c r="A7" s="7" t="s">
        <v>1549</v>
      </c>
      <c r="B7" s="7" t="s">
        <v>1553</v>
      </c>
      <c r="C7" s="7" t="s">
        <v>1460</v>
      </c>
      <c r="D7" s="7" t="s">
        <v>1460</v>
      </c>
      <c r="E7" s="7"/>
      <c r="F7" s="10">
        <v>45944</v>
      </c>
      <c r="G7" s="12">
        <f t="shared" ca="1" si="0"/>
        <v>215</v>
      </c>
    </row>
    <row r="8" spans="1:11" x14ac:dyDescent="0.3">
      <c r="A8" s="7" t="s">
        <v>1554</v>
      </c>
      <c r="B8" s="7" t="s">
        <v>1555</v>
      </c>
      <c r="C8" s="7" t="s">
        <v>120</v>
      </c>
      <c r="D8" s="7" t="s">
        <v>121</v>
      </c>
      <c r="E8" s="7"/>
      <c r="F8" s="10">
        <v>46023</v>
      </c>
      <c r="G8" s="12">
        <f t="shared" ca="1" si="0"/>
        <v>136</v>
      </c>
    </row>
    <row r="9" spans="1:11" x14ac:dyDescent="0.3">
      <c r="A9" s="7" t="s">
        <v>1557</v>
      </c>
      <c r="B9" s="7" t="s">
        <v>1560</v>
      </c>
      <c r="C9" s="7" t="s">
        <v>120</v>
      </c>
      <c r="D9" s="7" t="s">
        <v>121</v>
      </c>
      <c r="E9" s="7"/>
      <c r="F9" s="10">
        <v>46029</v>
      </c>
      <c r="G9" s="12">
        <f t="shared" ca="1" si="0"/>
        <v>130</v>
      </c>
    </row>
    <row r="10" spans="1:11" x14ac:dyDescent="0.3">
      <c r="A10" s="7" t="s">
        <v>1558</v>
      </c>
      <c r="B10" s="7" t="s">
        <v>1559</v>
      </c>
      <c r="C10" s="7" t="s">
        <v>120</v>
      </c>
      <c r="D10" s="7" t="s">
        <v>121</v>
      </c>
      <c r="E10" s="7"/>
      <c r="F10" s="10">
        <v>46038</v>
      </c>
      <c r="G10" s="12">
        <f t="shared" ca="1" si="0"/>
        <v>121</v>
      </c>
    </row>
    <row r="11" spans="1:11" x14ac:dyDescent="0.3">
      <c r="A11" s="7" t="s">
        <v>1579</v>
      </c>
      <c r="B11" s="7" t="s">
        <v>1580</v>
      </c>
      <c r="C11" s="7" t="s">
        <v>120</v>
      </c>
      <c r="D11" s="7" t="s">
        <v>121</v>
      </c>
      <c r="E11" s="7"/>
      <c r="F11" s="42">
        <v>46044</v>
      </c>
      <c r="G11" s="12">
        <f t="shared" ca="1" si="0"/>
        <v>115</v>
      </c>
    </row>
    <row r="12" spans="1:11" x14ac:dyDescent="0.3">
      <c r="A12" s="7" t="s">
        <v>1578</v>
      </c>
      <c r="B12" s="7" t="s">
        <v>1581</v>
      </c>
      <c r="C12" s="7" t="s">
        <v>120</v>
      </c>
      <c r="D12" s="7" t="s">
        <v>121</v>
      </c>
      <c r="E12" s="7"/>
      <c r="F12" s="42">
        <v>46047</v>
      </c>
      <c r="G12" s="12">
        <f t="shared" ca="1" si="0"/>
        <v>112</v>
      </c>
    </row>
    <row r="13" spans="1:11" x14ac:dyDescent="0.3">
      <c r="A13" s="7" t="s">
        <v>1571</v>
      </c>
      <c r="B13" s="7" t="s">
        <v>1572</v>
      </c>
      <c r="C13" s="7" t="s">
        <v>144</v>
      </c>
      <c r="D13" s="7" t="s">
        <v>144</v>
      </c>
      <c r="E13" s="7" t="s">
        <v>1573</v>
      </c>
      <c r="F13" s="42">
        <v>46072</v>
      </c>
      <c r="G13" s="12">
        <f t="shared" ca="1" si="0"/>
        <v>87</v>
      </c>
    </row>
    <row r="14" spans="1:11" x14ac:dyDescent="0.3">
      <c r="A14" s="7" t="s">
        <v>1582</v>
      </c>
      <c r="B14" s="7" t="s">
        <v>1583</v>
      </c>
      <c r="C14" s="7" t="s">
        <v>89</v>
      </c>
      <c r="D14" s="7" t="s">
        <v>89</v>
      </c>
      <c r="E14" s="7"/>
      <c r="F14" s="42">
        <v>46104</v>
      </c>
      <c r="G14" s="12">
        <f t="shared" ca="1" si="0"/>
        <v>55</v>
      </c>
    </row>
    <row r="15" spans="1:11" x14ac:dyDescent="0.3">
      <c r="A15" s="7" t="s">
        <v>1584</v>
      </c>
      <c r="B15" s="7" t="s">
        <v>1585</v>
      </c>
      <c r="C15" s="7" t="s">
        <v>108</v>
      </c>
      <c r="D15" s="7" t="s">
        <v>109</v>
      </c>
      <c r="E15" s="7"/>
      <c r="F15" s="42">
        <v>46086</v>
      </c>
      <c r="G15" s="12">
        <f t="shared" ca="1" si="0"/>
        <v>73</v>
      </c>
    </row>
    <row r="16" spans="1:11" x14ac:dyDescent="0.3">
      <c r="A16" s="7" t="s">
        <v>1600</v>
      </c>
      <c r="B16" s="7" t="s">
        <v>1601</v>
      </c>
      <c r="C16" s="7" t="s">
        <v>575</v>
      </c>
      <c r="D16" s="7" t="s">
        <v>576</v>
      </c>
      <c r="E16" s="7"/>
      <c r="F16" s="42">
        <v>46157</v>
      </c>
      <c r="G16" s="12">
        <f t="shared" ca="1" si="0"/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zoomScale="90" zoomScaleNormal="90" workbookViewId="0"/>
  </sheetViews>
  <sheetFormatPr defaultRowHeight="14.4" x14ac:dyDescent="0.3"/>
  <cols>
    <col min="1" max="2" width="30.6640625" customWidth="1"/>
    <col min="3" max="3" width="13.5546875" bestFit="1" customWidth="1"/>
    <col min="4" max="4" width="15.109375" bestFit="1" customWidth="1"/>
    <col min="5" max="5" width="11.5546875" style="2" bestFit="1" customWidth="1"/>
    <col min="6" max="6" width="10.6640625" bestFit="1" customWidth="1"/>
  </cols>
  <sheetData>
    <row r="1" spans="1:7" s="3" customFormat="1" x14ac:dyDescent="0.3">
      <c r="A1" s="5" t="s">
        <v>0</v>
      </c>
      <c r="B1" s="5" t="s">
        <v>1</v>
      </c>
      <c r="C1" s="5" t="s">
        <v>10</v>
      </c>
      <c r="D1" s="5" t="s">
        <v>11</v>
      </c>
      <c r="E1" s="5" t="s">
        <v>8</v>
      </c>
      <c r="F1" s="5" t="s">
        <v>162</v>
      </c>
    </row>
    <row r="2" spans="1:7" x14ac:dyDescent="0.3">
      <c r="A2" s="7" t="s">
        <v>168</v>
      </c>
      <c r="B2" s="7" t="s">
        <v>172</v>
      </c>
      <c r="C2" s="7" t="s">
        <v>12</v>
      </c>
      <c r="D2" s="7" t="s">
        <v>13</v>
      </c>
      <c r="E2" s="10">
        <v>42308</v>
      </c>
      <c r="F2" s="40">
        <f t="shared" ref="F2:F4" ca="1" si="0">(TODAY()-E2)/365</f>
        <v>10.550684931506849</v>
      </c>
    </row>
    <row r="3" spans="1:7" x14ac:dyDescent="0.3">
      <c r="A3" s="7" t="s">
        <v>169</v>
      </c>
      <c r="B3" s="7" t="s">
        <v>170</v>
      </c>
      <c r="C3" s="7" t="s">
        <v>12</v>
      </c>
      <c r="D3" s="7" t="s">
        <v>13</v>
      </c>
      <c r="E3" s="10">
        <v>42308</v>
      </c>
      <c r="F3" s="40">
        <f t="shared" ca="1" si="0"/>
        <v>10.550684931506849</v>
      </c>
    </row>
    <row r="4" spans="1:7" x14ac:dyDescent="0.3">
      <c r="A4" s="7" t="s">
        <v>256</v>
      </c>
      <c r="B4" s="7" t="s">
        <v>253</v>
      </c>
      <c r="C4" s="7" t="s">
        <v>128</v>
      </c>
      <c r="D4" s="7" t="s">
        <v>129</v>
      </c>
      <c r="E4" s="10">
        <v>42535</v>
      </c>
      <c r="F4" s="40">
        <f t="shared" ca="1" si="0"/>
        <v>9.9287671232876704</v>
      </c>
    </row>
    <row r="5" spans="1:7" x14ac:dyDescent="0.3">
      <c r="A5" s="7" t="s">
        <v>346</v>
      </c>
      <c r="B5" s="7" t="s">
        <v>347</v>
      </c>
      <c r="C5" s="7" t="s">
        <v>144</v>
      </c>
      <c r="D5" s="7" t="s">
        <v>144</v>
      </c>
      <c r="E5" s="10">
        <v>43130</v>
      </c>
      <c r="F5" s="40">
        <f ca="1">(TODAY()-E5)/365</f>
        <v>8.2986301369863007</v>
      </c>
    </row>
    <row r="6" spans="1:7" x14ac:dyDescent="0.3">
      <c r="A6" s="7" t="s">
        <v>1136</v>
      </c>
      <c r="B6" s="7" t="s">
        <v>1140</v>
      </c>
      <c r="C6" s="7" t="s">
        <v>1137</v>
      </c>
      <c r="D6" s="7" t="s">
        <v>1137</v>
      </c>
      <c r="E6" s="7"/>
      <c r="F6" s="10">
        <v>45077</v>
      </c>
      <c r="G6" s="1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N74"/>
  <sheetViews>
    <sheetView workbookViewId="0">
      <pane ySplit="2" topLeftCell="A54" activePane="bottomLeft" state="frozen"/>
      <selection pane="bottomLeft" activeCell="A74" sqref="A74"/>
    </sheetView>
  </sheetViews>
  <sheetFormatPr defaultRowHeight="14.4" x14ac:dyDescent="0.3"/>
  <cols>
    <col min="1" max="1" width="81.33203125" customWidth="1"/>
    <col min="2" max="2" width="13.109375" style="15" customWidth="1"/>
    <col min="3" max="4" width="30.6640625" customWidth="1"/>
    <col min="5" max="5" width="9.109375" style="15"/>
    <col min="6" max="10" width="9.109375" style="48"/>
  </cols>
  <sheetData>
    <row r="1" spans="1:14" s="15" customFormat="1" x14ac:dyDescent="0.3">
      <c r="F1" s="50">
        <f>COUNTA(F3:F990)</f>
        <v>9</v>
      </c>
      <c r="G1" s="50">
        <f>COUNTA(G3:G990)</f>
        <v>19</v>
      </c>
      <c r="H1" s="50">
        <f>COUNTA(H3:H990)</f>
        <v>9</v>
      </c>
      <c r="I1" s="50">
        <f>COUNTA(I3:I990)</f>
        <v>33</v>
      </c>
      <c r="J1" s="50">
        <f>COUNTA(J3:J990)</f>
        <v>3</v>
      </c>
      <c r="K1" s="51">
        <f>SUM(F1:J1)</f>
        <v>73</v>
      </c>
    </row>
    <row r="2" spans="1:14" s="15" customFormat="1" x14ac:dyDescent="0.3">
      <c r="A2" s="52" t="s">
        <v>1045</v>
      </c>
      <c r="B2" s="52" t="s">
        <v>1348</v>
      </c>
      <c r="C2" s="52" t="s">
        <v>175</v>
      </c>
      <c r="D2" s="52" t="s">
        <v>1046</v>
      </c>
      <c r="E2" s="52" t="s">
        <v>1047</v>
      </c>
      <c r="F2" s="53" t="s">
        <v>1162</v>
      </c>
      <c r="G2" s="53" t="s">
        <v>1033</v>
      </c>
      <c r="H2" s="53" t="s">
        <v>1034</v>
      </c>
      <c r="I2" s="53" t="s">
        <v>1035</v>
      </c>
      <c r="J2" s="53" t="s">
        <v>1036</v>
      </c>
      <c r="M2" s="53" t="s">
        <v>1250</v>
      </c>
    </row>
    <row r="3" spans="1:14" hidden="1" x14ac:dyDescent="0.3">
      <c r="A3" t="s">
        <v>1127</v>
      </c>
      <c r="B3" s="15">
        <v>2023</v>
      </c>
      <c r="C3" s="49" t="s">
        <v>1038</v>
      </c>
      <c r="D3" s="49" t="s">
        <v>1039</v>
      </c>
      <c r="E3" s="15" t="s">
        <v>1249</v>
      </c>
      <c r="G3" s="48" t="s">
        <v>1037</v>
      </c>
      <c r="N3" t="s">
        <v>1251</v>
      </c>
    </row>
    <row r="4" spans="1:14" hidden="1" x14ac:dyDescent="0.3">
      <c r="A4" t="s">
        <v>1126</v>
      </c>
      <c r="B4" s="15">
        <v>2023</v>
      </c>
      <c r="C4" s="49" t="s">
        <v>1040</v>
      </c>
      <c r="D4" s="49" t="s">
        <v>1041</v>
      </c>
      <c r="E4" s="15" t="s">
        <v>1055</v>
      </c>
      <c r="J4" s="48" t="s">
        <v>1037</v>
      </c>
      <c r="N4" t="s">
        <v>1252</v>
      </c>
    </row>
    <row r="5" spans="1:14" hidden="1" x14ac:dyDescent="0.3">
      <c r="A5" t="s">
        <v>1125</v>
      </c>
      <c r="B5" s="15">
        <v>2023</v>
      </c>
      <c r="C5" s="49" t="s">
        <v>1042</v>
      </c>
      <c r="D5" s="49" t="s">
        <v>1043</v>
      </c>
      <c r="E5" s="15" t="s">
        <v>1055</v>
      </c>
      <c r="G5" s="48" t="s">
        <v>1037</v>
      </c>
      <c r="N5" t="s">
        <v>1253</v>
      </c>
    </row>
    <row r="6" spans="1:14" hidden="1" x14ac:dyDescent="0.3">
      <c r="A6" t="s">
        <v>1124</v>
      </c>
      <c r="B6" s="15">
        <v>2023</v>
      </c>
      <c r="C6" s="49" t="s">
        <v>1052</v>
      </c>
      <c r="D6" s="49" t="s">
        <v>1053</v>
      </c>
      <c r="E6" s="15" t="s">
        <v>1044</v>
      </c>
      <c r="I6" s="48" t="s">
        <v>1037</v>
      </c>
    </row>
    <row r="7" spans="1:14" hidden="1" x14ac:dyDescent="0.3">
      <c r="A7" t="s">
        <v>1123</v>
      </c>
      <c r="B7" s="15">
        <v>2023</v>
      </c>
      <c r="C7" s="49" t="s">
        <v>1066</v>
      </c>
      <c r="D7" s="49" t="s">
        <v>1067</v>
      </c>
      <c r="E7" s="15" t="s">
        <v>1044</v>
      </c>
      <c r="I7" s="48" t="s">
        <v>1037</v>
      </c>
    </row>
    <row r="8" spans="1:14" hidden="1" x14ac:dyDescent="0.3">
      <c r="A8" t="s">
        <v>1068</v>
      </c>
      <c r="B8" s="15">
        <v>2023</v>
      </c>
      <c r="C8" s="49" t="s">
        <v>1069</v>
      </c>
      <c r="D8" s="49" t="s">
        <v>1070</v>
      </c>
      <c r="E8" s="15" t="s">
        <v>1055</v>
      </c>
      <c r="H8" s="48" t="s">
        <v>1037</v>
      </c>
    </row>
    <row r="9" spans="1:14" hidden="1" x14ac:dyDescent="0.3">
      <c r="A9" t="s">
        <v>1102</v>
      </c>
      <c r="B9" s="15">
        <v>2023</v>
      </c>
      <c r="C9" s="49" t="s">
        <v>1103</v>
      </c>
      <c r="D9" s="49" t="s">
        <v>1104</v>
      </c>
      <c r="E9" s="15" t="s">
        <v>1249</v>
      </c>
      <c r="G9" s="48" t="s">
        <v>1037</v>
      </c>
    </row>
    <row r="10" spans="1:14" hidden="1" x14ac:dyDescent="0.3">
      <c r="A10" t="s">
        <v>1116</v>
      </c>
      <c r="B10" s="15">
        <v>2023</v>
      </c>
      <c r="C10" s="49" t="s">
        <v>1117</v>
      </c>
      <c r="D10" s="49" t="s">
        <v>1118</v>
      </c>
      <c r="E10" s="15" t="s">
        <v>1249</v>
      </c>
      <c r="J10" s="48" t="s">
        <v>1037</v>
      </c>
    </row>
    <row r="11" spans="1:14" hidden="1" x14ac:dyDescent="0.3">
      <c r="A11" t="s">
        <v>1122</v>
      </c>
      <c r="B11" s="15">
        <v>2023</v>
      </c>
      <c r="C11" s="49" t="s">
        <v>1128</v>
      </c>
      <c r="D11" s="49" t="s">
        <v>1129</v>
      </c>
      <c r="E11" s="15" t="s">
        <v>1044</v>
      </c>
      <c r="I11" s="48" t="s">
        <v>1037</v>
      </c>
    </row>
    <row r="12" spans="1:14" hidden="1" x14ac:dyDescent="0.3">
      <c r="A12" t="s">
        <v>1130</v>
      </c>
      <c r="B12" s="15">
        <v>2023</v>
      </c>
      <c r="C12" s="49" t="s">
        <v>1131</v>
      </c>
      <c r="D12" s="49" t="s">
        <v>1132</v>
      </c>
      <c r="E12" s="15" t="s">
        <v>1249</v>
      </c>
      <c r="J12" s="48" t="s">
        <v>1037</v>
      </c>
    </row>
    <row r="13" spans="1:14" hidden="1" x14ac:dyDescent="0.3">
      <c r="A13" t="s">
        <v>1143</v>
      </c>
      <c r="B13" s="15">
        <v>2023</v>
      </c>
      <c r="C13" s="49" t="s">
        <v>1144</v>
      </c>
      <c r="D13" s="49" t="s">
        <v>1145</v>
      </c>
      <c r="E13" s="15" t="s">
        <v>1044</v>
      </c>
      <c r="I13" s="48" t="s">
        <v>1037</v>
      </c>
    </row>
    <row r="14" spans="1:14" hidden="1" x14ac:dyDescent="0.3">
      <c r="A14" t="s">
        <v>1146</v>
      </c>
      <c r="B14" s="15">
        <v>2023</v>
      </c>
      <c r="C14" s="49" t="s">
        <v>1147</v>
      </c>
      <c r="D14" s="49" t="s">
        <v>1148</v>
      </c>
      <c r="E14" s="15" t="s">
        <v>1055</v>
      </c>
      <c r="I14" s="48" t="s">
        <v>1037</v>
      </c>
    </row>
    <row r="15" spans="1:14" hidden="1" x14ac:dyDescent="0.3">
      <c r="A15" t="s">
        <v>1149</v>
      </c>
      <c r="B15" s="15">
        <v>2023</v>
      </c>
      <c r="C15" s="49" t="s">
        <v>1150</v>
      </c>
      <c r="D15" s="15"/>
      <c r="E15" s="15" t="s">
        <v>1055</v>
      </c>
      <c r="G15" s="48" t="s">
        <v>1037</v>
      </c>
    </row>
    <row r="16" spans="1:14" hidden="1" x14ac:dyDescent="0.3">
      <c r="A16" t="s">
        <v>1151</v>
      </c>
      <c r="B16" s="15">
        <v>2023</v>
      </c>
      <c r="C16" s="49" t="s">
        <v>1152</v>
      </c>
      <c r="E16" s="15" t="s">
        <v>1055</v>
      </c>
      <c r="G16" s="48" t="s">
        <v>1037</v>
      </c>
    </row>
    <row r="17" spans="1:9" hidden="1" x14ac:dyDescent="0.3">
      <c r="A17" t="s">
        <v>1153</v>
      </c>
      <c r="B17" s="15">
        <v>2023</v>
      </c>
      <c r="C17" s="49" t="s">
        <v>1154</v>
      </c>
      <c r="D17" s="49" t="s">
        <v>1155</v>
      </c>
      <c r="E17" s="15" t="s">
        <v>1044</v>
      </c>
      <c r="I17" s="48" t="s">
        <v>1037</v>
      </c>
    </row>
    <row r="18" spans="1:9" hidden="1" x14ac:dyDescent="0.3">
      <c r="A18" t="s">
        <v>1161</v>
      </c>
      <c r="B18" s="15">
        <v>2023</v>
      </c>
      <c r="C18" s="49" t="s">
        <v>1163</v>
      </c>
      <c r="D18" s="15"/>
      <c r="E18" s="15" t="s">
        <v>1055</v>
      </c>
      <c r="F18" s="48" t="s">
        <v>1037</v>
      </c>
    </row>
    <row r="19" spans="1:9" hidden="1" x14ac:dyDescent="0.3">
      <c r="A19" t="s">
        <v>1165</v>
      </c>
      <c r="B19" s="15">
        <v>2023</v>
      </c>
      <c r="C19" s="49" t="s">
        <v>1166</v>
      </c>
      <c r="D19" s="49" t="s">
        <v>1167</v>
      </c>
      <c r="E19" s="15" t="s">
        <v>1044</v>
      </c>
      <c r="I19" s="48" t="s">
        <v>1037</v>
      </c>
    </row>
    <row r="20" spans="1:9" hidden="1" x14ac:dyDescent="0.3">
      <c r="A20" t="s">
        <v>1171</v>
      </c>
      <c r="B20" s="15">
        <v>2023</v>
      </c>
      <c r="C20" s="49" t="s">
        <v>1173</v>
      </c>
      <c r="D20" s="49" t="s">
        <v>1172</v>
      </c>
      <c r="E20" s="15" t="s">
        <v>1044</v>
      </c>
      <c r="I20" s="48" t="s">
        <v>1037</v>
      </c>
    </row>
    <row r="21" spans="1:9" hidden="1" x14ac:dyDescent="0.3">
      <c r="A21" t="s">
        <v>1175</v>
      </c>
      <c r="B21" s="15">
        <v>2023</v>
      </c>
      <c r="C21" s="49" t="s">
        <v>1176</v>
      </c>
      <c r="D21" s="49" t="s">
        <v>1177</v>
      </c>
      <c r="E21" s="15" t="s">
        <v>1044</v>
      </c>
      <c r="I21" s="48" t="s">
        <v>1037</v>
      </c>
    </row>
    <row r="22" spans="1:9" hidden="1" x14ac:dyDescent="0.3">
      <c r="A22" t="s">
        <v>1179</v>
      </c>
      <c r="B22" s="15">
        <v>2023</v>
      </c>
      <c r="C22" s="49" t="s">
        <v>1180</v>
      </c>
      <c r="D22" s="49" t="s">
        <v>1181</v>
      </c>
      <c r="E22" s="15" t="s">
        <v>1044</v>
      </c>
      <c r="I22" s="48" t="s">
        <v>1037</v>
      </c>
    </row>
    <row r="23" spans="1:9" hidden="1" x14ac:dyDescent="0.3">
      <c r="A23" t="s">
        <v>1184</v>
      </c>
      <c r="B23" s="15">
        <v>2023</v>
      </c>
      <c r="C23" s="49" t="s">
        <v>1186</v>
      </c>
      <c r="D23" s="49" t="s">
        <v>1185</v>
      </c>
      <c r="E23" s="15" t="s">
        <v>1044</v>
      </c>
      <c r="I23" s="48" t="s">
        <v>1037</v>
      </c>
    </row>
    <row r="24" spans="1:9" hidden="1" x14ac:dyDescent="0.3">
      <c r="A24" t="s">
        <v>1195</v>
      </c>
      <c r="B24" s="15">
        <v>2023</v>
      </c>
      <c r="C24" s="49" t="s">
        <v>1196</v>
      </c>
      <c r="D24" s="49" t="s">
        <v>1197</v>
      </c>
      <c r="E24" s="15" t="s">
        <v>1055</v>
      </c>
      <c r="G24" s="48" t="s">
        <v>1037</v>
      </c>
    </row>
    <row r="25" spans="1:9" hidden="1" x14ac:dyDescent="0.3">
      <c r="A25" t="s">
        <v>1224</v>
      </c>
      <c r="B25" s="15">
        <v>2023</v>
      </c>
      <c r="C25" s="49" t="s">
        <v>1225</v>
      </c>
      <c r="D25" s="49" t="s">
        <v>1226</v>
      </c>
      <c r="E25" s="15" t="s">
        <v>1249</v>
      </c>
      <c r="G25" s="48" t="s">
        <v>1037</v>
      </c>
    </row>
    <row r="26" spans="1:9" hidden="1" x14ac:dyDescent="0.3">
      <c r="A26" t="s">
        <v>1227</v>
      </c>
      <c r="B26" s="15">
        <v>2023</v>
      </c>
      <c r="C26" s="49" t="s">
        <v>1228</v>
      </c>
      <c r="D26" s="49" t="s">
        <v>1229</v>
      </c>
      <c r="E26" s="15" t="s">
        <v>1249</v>
      </c>
      <c r="F26" s="48" t="s">
        <v>1037</v>
      </c>
    </row>
    <row r="27" spans="1:9" hidden="1" x14ac:dyDescent="0.3">
      <c r="A27" t="s">
        <v>1236</v>
      </c>
      <c r="B27" s="15">
        <v>2023</v>
      </c>
      <c r="C27" s="49" t="s">
        <v>1237</v>
      </c>
      <c r="D27" s="49" t="s">
        <v>1238</v>
      </c>
      <c r="E27" s="15" t="s">
        <v>1044</v>
      </c>
      <c r="I27" s="48" t="s">
        <v>1037</v>
      </c>
    </row>
    <row r="28" spans="1:9" hidden="1" x14ac:dyDescent="0.3">
      <c r="A28" t="s">
        <v>1243</v>
      </c>
      <c r="B28" s="15">
        <v>2023</v>
      </c>
      <c r="C28" s="49" t="s">
        <v>1244</v>
      </c>
      <c r="D28" s="49" t="s">
        <v>1245</v>
      </c>
      <c r="E28" s="15" t="s">
        <v>1055</v>
      </c>
      <c r="H28" s="48" t="s">
        <v>1037</v>
      </c>
    </row>
    <row r="29" spans="1:9" hidden="1" x14ac:dyDescent="0.3">
      <c r="A29" t="s">
        <v>1246</v>
      </c>
      <c r="B29" s="15">
        <v>2023</v>
      </c>
      <c r="C29" s="49" t="s">
        <v>1247</v>
      </c>
      <c r="D29" s="49" t="s">
        <v>1248</v>
      </c>
      <c r="E29" s="15" t="s">
        <v>1055</v>
      </c>
      <c r="H29" s="48" t="s">
        <v>1037</v>
      </c>
    </row>
    <row r="30" spans="1:9" x14ac:dyDescent="0.3">
      <c r="A30" t="s">
        <v>1105</v>
      </c>
      <c r="B30" s="15">
        <v>2024</v>
      </c>
      <c r="C30" s="49" t="s">
        <v>1106</v>
      </c>
      <c r="D30" s="49" t="s">
        <v>1107</v>
      </c>
      <c r="E30" s="15" t="s">
        <v>1249</v>
      </c>
      <c r="H30" s="48" t="s">
        <v>1037</v>
      </c>
    </row>
    <row r="31" spans="1:9" x14ac:dyDescent="0.3">
      <c r="A31" t="s">
        <v>1217</v>
      </c>
      <c r="B31" s="15">
        <v>2024</v>
      </c>
      <c r="C31" s="49" t="s">
        <v>1218</v>
      </c>
      <c r="D31" s="49" t="s">
        <v>1219</v>
      </c>
      <c r="E31" s="15" t="s">
        <v>1249</v>
      </c>
      <c r="F31" s="48" t="s">
        <v>1037</v>
      </c>
    </row>
    <row r="32" spans="1:9" x14ac:dyDescent="0.3">
      <c r="A32" t="s">
        <v>1230</v>
      </c>
      <c r="B32" s="15">
        <v>2024</v>
      </c>
      <c r="C32" s="49" t="s">
        <v>1231</v>
      </c>
      <c r="D32" s="49" t="s">
        <v>1232</v>
      </c>
      <c r="E32" s="15" t="s">
        <v>1055</v>
      </c>
      <c r="I32" s="48" t="s">
        <v>1037</v>
      </c>
    </row>
    <row r="33" spans="1:9" x14ac:dyDescent="0.3">
      <c r="A33" t="s">
        <v>1233</v>
      </c>
      <c r="B33" s="15">
        <v>2024</v>
      </c>
      <c r="C33" s="49" t="s">
        <v>1235</v>
      </c>
      <c r="D33" s="49" t="s">
        <v>1234</v>
      </c>
      <c r="E33" s="15" t="s">
        <v>1249</v>
      </c>
      <c r="H33" s="48" t="s">
        <v>1037</v>
      </c>
    </row>
    <row r="34" spans="1:9" x14ac:dyDescent="0.3">
      <c r="A34" t="s">
        <v>1266</v>
      </c>
      <c r="B34" s="15">
        <v>2024</v>
      </c>
      <c r="C34" s="49" t="s">
        <v>1267</v>
      </c>
      <c r="D34" s="49" t="s">
        <v>1268</v>
      </c>
      <c r="E34" s="15" t="s">
        <v>1044</v>
      </c>
      <c r="F34" s="48" t="s">
        <v>1037</v>
      </c>
    </row>
    <row r="35" spans="1:9" x14ac:dyDescent="0.3">
      <c r="A35" t="s">
        <v>1269</v>
      </c>
      <c r="B35" s="15">
        <v>2024</v>
      </c>
      <c r="C35" s="49" t="s">
        <v>1271</v>
      </c>
      <c r="D35" s="49" t="s">
        <v>1270</v>
      </c>
      <c r="E35" s="15" t="s">
        <v>1044</v>
      </c>
      <c r="G35" s="48" t="s">
        <v>1037</v>
      </c>
    </row>
    <row r="36" spans="1:9" x14ac:dyDescent="0.3">
      <c r="A36" t="s">
        <v>1281</v>
      </c>
      <c r="B36" s="15">
        <v>2024</v>
      </c>
      <c r="C36" s="49" t="s">
        <v>1282</v>
      </c>
      <c r="D36" s="49" t="s">
        <v>1283</v>
      </c>
      <c r="E36" s="15" t="s">
        <v>1044</v>
      </c>
      <c r="I36" s="48" t="s">
        <v>1037</v>
      </c>
    </row>
    <row r="37" spans="1:9" x14ac:dyDescent="0.3">
      <c r="A37" t="s">
        <v>1294</v>
      </c>
      <c r="B37" s="15">
        <v>2024</v>
      </c>
      <c r="C37" s="49" t="s">
        <v>1296</v>
      </c>
      <c r="D37" s="49" t="s">
        <v>1295</v>
      </c>
      <c r="E37" s="15" t="s">
        <v>1044</v>
      </c>
      <c r="F37" s="48" t="s">
        <v>1037</v>
      </c>
    </row>
    <row r="38" spans="1:9" x14ac:dyDescent="0.3">
      <c r="A38" t="s">
        <v>1297</v>
      </c>
      <c r="B38" s="15">
        <v>2024</v>
      </c>
      <c r="C38" s="49" t="s">
        <v>1298</v>
      </c>
      <c r="D38" s="49" t="s">
        <v>1299</v>
      </c>
      <c r="E38" s="15" t="s">
        <v>1044</v>
      </c>
      <c r="H38" s="48" t="s">
        <v>1037</v>
      </c>
    </row>
    <row r="39" spans="1:9" x14ac:dyDescent="0.3">
      <c r="A39" t="s">
        <v>1300</v>
      </c>
      <c r="B39" s="15">
        <v>2024</v>
      </c>
      <c r="C39" s="49" t="s">
        <v>1302</v>
      </c>
      <c r="D39" s="49" t="s">
        <v>1301</v>
      </c>
      <c r="E39" s="15" t="s">
        <v>1044</v>
      </c>
      <c r="I39" s="48" t="s">
        <v>1037</v>
      </c>
    </row>
    <row r="40" spans="1:9" x14ac:dyDescent="0.3">
      <c r="A40" t="s">
        <v>1349</v>
      </c>
      <c r="B40" s="15">
        <v>2024</v>
      </c>
      <c r="C40" s="49" t="s">
        <v>1350</v>
      </c>
      <c r="D40" s="49" t="s">
        <v>1351</v>
      </c>
      <c r="E40" s="15" t="s">
        <v>1044</v>
      </c>
      <c r="I40" s="48" t="s">
        <v>1037</v>
      </c>
    </row>
    <row r="41" spans="1:9" x14ac:dyDescent="0.3">
      <c r="A41" t="s">
        <v>1354</v>
      </c>
      <c r="B41" s="15">
        <v>2024</v>
      </c>
      <c r="C41" s="49" t="s">
        <v>1352</v>
      </c>
      <c r="D41" s="49" t="s">
        <v>1353</v>
      </c>
      <c r="E41" s="15" t="s">
        <v>1044</v>
      </c>
      <c r="G41" s="48" t="s">
        <v>1037</v>
      </c>
    </row>
    <row r="42" spans="1:9" x14ac:dyDescent="0.3">
      <c r="A42" t="s">
        <v>1355</v>
      </c>
      <c r="B42" s="15">
        <v>2024</v>
      </c>
      <c r="C42" s="49" t="s">
        <v>1356</v>
      </c>
      <c r="D42" s="49" t="s">
        <v>1357</v>
      </c>
      <c r="E42" s="15" t="s">
        <v>1044</v>
      </c>
      <c r="G42" s="48" t="s">
        <v>1037</v>
      </c>
      <c r="I42" s="48" t="s">
        <v>1037</v>
      </c>
    </row>
    <row r="43" spans="1:9" x14ac:dyDescent="0.3">
      <c r="A43" t="s">
        <v>1358</v>
      </c>
      <c r="B43" s="15">
        <v>2024</v>
      </c>
      <c r="C43" s="49" t="s">
        <v>1360</v>
      </c>
      <c r="D43" s="49" t="s">
        <v>1359</v>
      </c>
      <c r="E43" s="15" t="s">
        <v>1044</v>
      </c>
      <c r="I43" s="48" t="s">
        <v>1037</v>
      </c>
    </row>
    <row r="44" spans="1:9" x14ac:dyDescent="0.3">
      <c r="A44" t="s">
        <v>1340</v>
      </c>
      <c r="B44" s="15">
        <v>2024</v>
      </c>
      <c r="C44" s="49" t="s">
        <v>1361</v>
      </c>
      <c r="D44" s="49" t="s">
        <v>1362</v>
      </c>
      <c r="E44" s="15" t="s">
        <v>1044</v>
      </c>
      <c r="H44" s="48" t="s">
        <v>1037</v>
      </c>
    </row>
    <row r="45" spans="1:9" x14ac:dyDescent="0.3">
      <c r="A45" t="s">
        <v>1363</v>
      </c>
      <c r="B45" s="15">
        <v>2024</v>
      </c>
      <c r="C45" s="49" t="s">
        <v>1364</v>
      </c>
      <c r="D45" s="49" t="s">
        <v>1365</v>
      </c>
      <c r="E45" s="15" t="s">
        <v>1044</v>
      </c>
      <c r="F45" s="48" t="s">
        <v>1037</v>
      </c>
    </row>
    <row r="46" spans="1:9" x14ac:dyDescent="0.3">
      <c r="A46" t="s">
        <v>1366</v>
      </c>
      <c r="B46" s="15">
        <v>2024</v>
      </c>
      <c r="C46" s="49" t="s">
        <v>1367</v>
      </c>
      <c r="D46" s="49" t="s">
        <v>1368</v>
      </c>
      <c r="E46" s="15" t="s">
        <v>1044</v>
      </c>
      <c r="I46" s="48" t="s">
        <v>1037</v>
      </c>
    </row>
    <row r="47" spans="1:9" x14ac:dyDescent="0.3">
      <c r="A47" t="s">
        <v>1369</v>
      </c>
      <c r="B47" s="15">
        <v>2024</v>
      </c>
      <c r="C47" s="49" t="s">
        <v>1370</v>
      </c>
      <c r="D47" s="49" t="s">
        <v>1371</v>
      </c>
      <c r="E47" s="15" t="s">
        <v>1044</v>
      </c>
      <c r="I47" s="48" t="s">
        <v>1037</v>
      </c>
    </row>
    <row r="48" spans="1:9" x14ac:dyDescent="0.3">
      <c r="A48" t="s">
        <v>1372</v>
      </c>
      <c r="B48" s="15">
        <v>2024</v>
      </c>
      <c r="C48" s="49" t="s">
        <v>1373</v>
      </c>
      <c r="D48" s="49" t="s">
        <v>1374</v>
      </c>
      <c r="E48" s="15" t="s">
        <v>1044</v>
      </c>
      <c r="I48" s="48" t="s">
        <v>1037</v>
      </c>
    </row>
    <row r="49" spans="1:9" x14ac:dyDescent="0.3">
      <c r="A49" t="s">
        <v>1375</v>
      </c>
      <c r="B49" s="15">
        <v>2024</v>
      </c>
      <c r="C49" s="49" t="s">
        <v>1376</v>
      </c>
      <c r="D49" s="49" t="s">
        <v>1377</v>
      </c>
      <c r="E49" s="15" t="s">
        <v>1044</v>
      </c>
      <c r="H49" s="48" t="s">
        <v>1037</v>
      </c>
    </row>
    <row r="50" spans="1:9" x14ac:dyDescent="0.3">
      <c r="A50" t="s">
        <v>1378</v>
      </c>
      <c r="B50" s="15">
        <v>2024</v>
      </c>
      <c r="C50" s="49" t="s">
        <v>1380</v>
      </c>
      <c r="D50" s="49" t="s">
        <v>1379</v>
      </c>
      <c r="E50" s="15" t="s">
        <v>1044</v>
      </c>
      <c r="I50" s="48" t="s">
        <v>1037</v>
      </c>
    </row>
    <row r="51" spans="1:9" x14ac:dyDescent="0.3">
      <c r="A51" t="s">
        <v>1381</v>
      </c>
      <c r="B51" s="15">
        <v>2024</v>
      </c>
      <c r="C51" s="49" t="s">
        <v>1382</v>
      </c>
      <c r="D51" s="49" t="s">
        <v>1383</v>
      </c>
      <c r="E51" s="15" t="s">
        <v>1044</v>
      </c>
      <c r="I51" s="48" t="s">
        <v>1037</v>
      </c>
    </row>
    <row r="52" spans="1:9" x14ac:dyDescent="0.3">
      <c r="A52" t="s">
        <v>1384</v>
      </c>
      <c r="B52" s="15">
        <v>2024</v>
      </c>
      <c r="C52" s="49" t="s">
        <v>1385</v>
      </c>
      <c r="D52" s="49" t="s">
        <v>1386</v>
      </c>
      <c r="E52" s="15" t="s">
        <v>1044</v>
      </c>
      <c r="I52" s="48" t="s">
        <v>1037</v>
      </c>
    </row>
    <row r="53" spans="1:9" x14ac:dyDescent="0.3">
      <c r="A53" t="s">
        <v>1387</v>
      </c>
      <c r="B53" s="15">
        <v>2024</v>
      </c>
      <c r="C53" s="49" t="s">
        <v>1388</v>
      </c>
      <c r="D53" s="49" t="s">
        <v>1389</v>
      </c>
      <c r="E53" s="15" t="s">
        <v>1044</v>
      </c>
      <c r="I53" s="48" t="s">
        <v>1037</v>
      </c>
    </row>
    <row r="54" spans="1:9" x14ac:dyDescent="0.3">
      <c r="A54" t="s">
        <v>1390</v>
      </c>
      <c r="B54" s="15">
        <v>2024</v>
      </c>
      <c r="C54" s="49" t="s">
        <v>1392</v>
      </c>
      <c r="D54" s="49" t="s">
        <v>1391</v>
      </c>
      <c r="E54" s="15" t="s">
        <v>1044</v>
      </c>
      <c r="F54" s="48" t="s">
        <v>1037</v>
      </c>
    </row>
    <row r="55" spans="1:9" x14ac:dyDescent="0.3">
      <c r="A55" t="s">
        <v>1393</v>
      </c>
      <c r="B55" s="15">
        <v>2024</v>
      </c>
      <c r="C55" s="49" t="s">
        <v>1394</v>
      </c>
      <c r="D55" s="49" t="s">
        <v>1395</v>
      </c>
      <c r="E55" s="15" t="s">
        <v>1044</v>
      </c>
      <c r="I55" s="48" t="s">
        <v>1037</v>
      </c>
    </row>
    <row r="56" spans="1:9" x14ac:dyDescent="0.3">
      <c r="A56" t="s">
        <v>1396</v>
      </c>
      <c r="B56" s="15">
        <v>2024</v>
      </c>
      <c r="C56" s="49" t="s">
        <v>1397</v>
      </c>
      <c r="D56" s="49" t="s">
        <v>1398</v>
      </c>
      <c r="E56" s="15" t="s">
        <v>1044</v>
      </c>
      <c r="I56" s="48" t="s">
        <v>1037</v>
      </c>
    </row>
    <row r="57" spans="1:9" x14ac:dyDescent="0.3">
      <c r="A57" t="s">
        <v>1399</v>
      </c>
      <c r="B57" s="15">
        <v>2024</v>
      </c>
      <c r="C57" s="49" t="s">
        <v>1401</v>
      </c>
      <c r="D57" s="49" t="s">
        <v>1400</v>
      </c>
      <c r="E57" s="15" t="s">
        <v>1044</v>
      </c>
      <c r="G57" s="48" t="s">
        <v>1037</v>
      </c>
    </row>
    <row r="58" spans="1:9" x14ac:dyDescent="0.3">
      <c r="A58" t="s">
        <v>1402</v>
      </c>
      <c r="B58" s="15">
        <v>2024</v>
      </c>
      <c r="C58" s="49" t="s">
        <v>1404</v>
      </c>
      <c r="D58" s="49" t="s">
        <v>1403</v>
      </c>
      <c r="E58" s="15" t="s">
        <v>1044</v>
      </c>
      <c r="I58" s="48" t="s">
        <v>1037</v>
      </c>
    </row>
    <row r="59" spans="1:9" x14ac:dyDescent="0.3">
      <c r="A59" t="s">
        <v>1405</v>
      </c>
      <c r="B59" s="15">
        <v>2024</v>
      </c>
      <c r="C59" s="49" t="s">
        <v>1406</v>
      </c>
      <c r="D59" s="49" t="s">
        <v>1407</v>
      </c>
      <c r="E59" s="15" t="s">
        <v>1044</v>
      </c>
      <c r="I59" s="48" t="s">
        <v>1037</v>
      </c>
    </row>
    <row r="60" spans="1:9" x14ac:dyDescent="0.3">
      <c r="A60" t="s">
        <v>1408</v>
      </c>
      <c r="B60" s="15">
        <v>2024</v>
      </c>
      <c r="C60" s="49" t="s">
        <v>1409</v>
      </c>
      <c r="D60" s="49" t="s">
        <v>1410</v>
      </c>
      <c r="E60" s="15" t="s">
        <v>1044</v>
      </c>
      <c r="I60" s="48" t="s">
        <v>1037</v>
      </c>
    </row>
    <row r="61" spans="1:9" x14ac:dyDescent="0.3">
      <c r="A61" t="s">
        <v>1411</v>
      </c>
      <c r="B61" s="15">
        <v>2024</v>
      </c>
      <c r="C61" s="49" t="s">
        <v>1412</v>
      </c>
      <c r="D61" s="49" t="s">
        <v>1413</v>
      </c>
      <c r="E61" s="15" t="s">
        <v>1044</v>
      </c>
      <c r="G61" s="48" t="s">
        <v>1037</v>
      </c>
    </row>
    <row r="62" spans="1:9" x14ac:dyDescent="0.3">
      <c r="A62" t="s">
        <v>1414</v>
      </c>
      <c r="B62" s="15">
        <v>2024</v>
      </c>
      <c r="C62" s="49" t="s">
        <v>1415</v>
      </c>
      <c r="D62" s="49" t="s">
        <v>1416</v>
      </c>
      <c r="E62" s="15" t="s">
        <v>1044</v>
      </c>
      <c r="H62" s="48" t="s">
        <v>1037</v>
      </c>
    </row>
    <row r="63" spans="1:9" x14ac:dyDescent="0.3">
      <c r="A63" t="s">
        <v>1417</v>
      </c>
      <c r="B63" s="15">
        <v>2024</v>
      </c>
      <c r="C63" s="49" t="s">
        <v>1418</v>
      </c>
      <c r="D63" s="49" t="s">
        <v>1419</v>
      </c>
      <c r="E63" s="15" t="s">
        <v>1044</v>
      </c>
      <c r="G63" s="48" t="s">
        <v>1037</v>
      </c>
    </row>
    <row r="64" spans="1:9" x14ac:dyDescent="0.3">
      <c r="A64" t="s">
        <v>1420</v>
      </c>
      <c r="B64" s="15">
        <v>2024</v>
      </c>
      <c r="C64" s="49" t="s">
        <v>1421</v>
      </c>
      <c r="D64" s="49" t="s">
        <v>1422</v>
      </c>
      <c r="E64" s="15" t="s">
        <v>1044</v>
      </c>
      <c r="G64" s="48" t="s">
        <v>1037</v>
      </c>
    </row>
    <row r="65" spans="1:9" x14ac:dyDescent="0.3">
      <c r="A65" t="s">
        <v>1423</v>
      </c>
      <c r="B65" s="15">
        <v>2024</v>
      </c>
      <c r="C65" s="49" t="s">
        <v>1424</v>
      </c>
      <c r="D65" s="49" t="s">
        <v>1425</v>
      </c>
      <c r="E65" s="15" t="s">
        <v>1044</v>
      </c>
      <c r="G65" s="48" t="s">
        <v>1037</v>
      </c>
    </row>
    <row r="66" spans="1:9" x14ac:dyDescent="0.3">
      <c r="A66" t="s">
        <v>1426</v>
      </c>
      <c r="B66" s="15">
        <v>2024</v>
      </c>
      <c r="C66" s="49" t="s">
        <v>1427</v>
      </c>
      <c r="D66" s="49" t="s">
        <v>1428</v>
      </c>
      <c r="E66" s="15" t="s">
        <v>1044</v>
      </c>
      <c r="I66" s="48" t="s">
        <v>1037</v>
      </c>
    </row>
    <row r="67" spans="1:9" x14ac:dyDescent="0.3">
      <c r="A67" t="s">
        <v>1429</v>
      </c>
      <c r="B67" s="15">
        <v>2024</v>
      </c>
      <c r="C67" s="49" t="s">
        <v>1430</v>
      </c>
      <c r="D67" s="49" t="s">
        <v>1431</v>
      </c>
      <c r="E67" s="15" t="s">
        <v>1044</v>
      </c>
      <c r="F67" s="48" t="s">
        <v>1037</v>
      </c>
    </row>
    <row r="68" spans="1:9" x14ac:dyDescent="0.3">
      <c r="A68" t="s">
        <v>1432</v>
      </c>
      <c r="B68" s="15">
        <v>2024</v>
      </c>
      <c r="C68" s="49" t="s">
        <v>1433</v>
      </c>
      <c r="D68" s="49" t="s">
        <v>1434</v>
      </c>
      <c r="E68" s="15" t="s">
        <v>1044</v>
      </c>
      <c r="I68" s="48" t="s">
        <v>1037</v>
      </c>
    </row>
    <row r="69" spans="1:9" x14ac:dyDescent="0.3">
      <c r="A69" t="s">
        <v>1435</v>
      </c>
      <c r="B69" s="15">
        <v>2024</v>
      </c>
      <c r="C69" s="49" t="s">
        <v>1436</v>
      </c>
      <c r="D69" s="49" t="s">
        <v>1437</v>
      </c>
      <c r="E69" s="15" t="s">
        <v>1044</v>
      </c>
      <c r="G69" s="48" t="s">
        <v>1037</v>
      </c>
    </row>
    <row r="70" spans="1:9" x14ac:dyDescent="0.3">
      <c r="A70" t="s">
        <v>1438</v>
      </c>
      <c r="B70" s="15">
        <v>2024</v>
      </c>
      <c r="C70" s="49" t="s">
        <v>1439</v>
      </c>
      <c r="D70" s="49" t="s">
        <v>1440</v>
      </c>
      <c r="E70" s="15" t="s">
        <v>1044</v>
      </c>
      <c r="I70" s="48" t="s">
        <v>1037</v>
      </c>
    </row>
    <row r="71" spans="1:9" x14ac:dyDescent="0.3">
      <c r="A71" t="s">
        <v>1443</v>
      </c>
      <c r="B71" s="15">
        <v>2024</v>
      </c>
      <c r="C71" s="49" t="s">
        <v>1441</v>
      </c>
      <c r="D71" s="49" t="s">
        <v>1442</v>
      </c>
      <c r="E71" s="15" t="s">
        <v>1044</v>
      </c>
      <c r="G71" s="48" t="s">
        <v>1037</v>
      </c>
    </row>
    <row r="72" spans="1:9" x14ac:dyDescent="0.3">
      <c r="A72" t="s">
        <v>1453</v>
      </c>
      <c r="B72" s="15">
        <v>2024</v>
      </c>
      <c r="C72" s="49" t="s">
        <v>1456</v>
      </c>
      <c r="D72" s="49" t="s">
        <v>1455</v>
      </c>
      <c r="E72" s="15" t="s">
        <v>1454</v>
      </c>
      <c r="G72" s="48" t="s">
        <v>1037</v>
      </c>
    </row>
    <row r="73" spans="1:9" x14ac:dyDescent="0.3">
      <c r="A73" t="s">
        <v>1457</v>
      </c>
      <c r="B73" s="15">
        <v>2024</v>
      </c>
      <c r="C73" s="49" t="s">
        <v>1458</v>
      </c>
      <c r="D73" s="49" t="s">
        <v>1459</v>
      </c>
      <c r="E73" s="15" t="s">
        <v>1454</v>
      </c>
      <c r="G73" s="48" t="s">
        <v>1037</v>
      </c>
    </row>
    <row r="74" spans="1:9" x14ac:dyDescent="0.3">
      <c r="A74" t="s">
        <v>1471</v>
      </c>
      <c r="B74" s="15">
        <v>2025</v>
      </c>
      <c r="C74" s="49" t="s">
        <v>1472</v>
      </c>
      <c r="E74" s="15" t="s">
        <v>1044</v>
      </c>
      <c r="F74" s="48" t="s">
        <v>1037</v>
      </c>
    </row>
  </sheetData>
  <autoFilter ref="A2:J71" xr:uid="{00000000-0009-0000-0000-000004000000}">
    <filterColumn colId="1">
      <filters>
        <filter val="2024"/>
      </filters>
    </filterColumn>
    <sortState xmlns:xlrd2="http://schemas.microsoft.com/office/spreadsheetml/2017/richdata2" ref="A3:J71">
      <sortCondition ref="B2:B33"/>
    </sortState>
  </autoFilter>
  <conditionalFormatting sqref="M2 F1:J1048576">
    <cfRule type="cellIs" dxfId="4" priority="5" operator="equal">
      <formula>"X"</formula>
    </cfRule>
  </conditionalFormatting>
  <conditionalFormatting sqref="E1 E2:F1048576">
    <cfRule type="cellIs" dxfId="3" priority="3" operator="equal">
      <formula>"Yes"</formula>
    </cfRule>
    <cfRule type="cellIs" dxfId="2" priority="4" operator="equal">
      <formula>"No"</formula>
    </cfRule>
  </conditionalFormatting>
  <conditionalFormatting sqref="F1">
    <cfRule type="cellIs" dxfId="1" priority="2" operator="equal">
      <formula>"X"</formula>
    </cfRule>
  </conditionalFormatting>
  <conditionalFormatting sqref="E1:E1048576">
    <cfRule type="cellIs" dxfId="0" priority="1" operator="equal">
      <formula>"Added"</formula>
    </cfRule>
  </conditionalFormatting>
  <hyperlinks>
    <hyperlink ref="C3" r:id="rId1" xr:uid="{00000000-0004-0000-0400-000000000000}"/>
    <hyperlink ref="D3" r:id="rId2" xr:uid="{00000000-0004-0000-0400-000001000000}"/>
    <hyperlink ref="C4" r:id="rId3" xr:uid="{00000000-0004-0000-0400-000002000000}"/>
    <hyperlink ref="D4" r:id="rId4" xr:uid="{00000000-0004-0000-0400-000003000000}"/>
    <hyperlink ref="C5" r:id="rId5" xr:uid="{00000000-0004-0000-0400-000004000000}"/>
    <hyperlink ref="D5" r:id="rId6" xr:uid="{00000000-0004-0000-0400-000005000000}"/>
    <hyperlink ref="C6" r:id="rId7" xr:uid="{00000000-0004-0000-0400-000006000000}"/>
    <hyperlink ref="D6" r:id="rId8" xr:uid="{00000000-0004-0000-0400-000007000000}"/>
    <hyperlink ref="C7" r:id="rId9" xr:uid="{00000000-0004-0000-0400-000008000000}"/>
    <hyperlink ref="D7" r:id="rId10" xr:uid="{00000000-0004-0000-0400-000009000000}"/>
    <hyperlink ref="C8" r:id="rId11" xr:uid="{00000000-0004-0000-0400-00000A000000}"/>
    <hyperlink ref="D8" r:id="rId12" xr:uid="{00000000-0004-0000-0400-00000B000000}"/>
    <hyperlink ref="C9" r:id="rId13" xr:uid="{00000000-0004-0000-0400-00000C000000}"/>
    <hyperlink ref="D9" r:id="rId14" xr:uid="{00000000-0004-0000-0400-00000D000000}"/>
    <hyperlink ref="C30" r:id="rId15" xr:uid="{00000000-0004-0000-0400-00000E000000}"/>
    <hyperlink ref="D30" r:id="rId16" xr:uid="{00000000-0004-0000-0400-00000F000000}"/>
    <hyperlink ref="C10" r:id="rId17" xr:uid="{00000000-0004-0000-0400-000010000000}"/>
    <hyperlink ref="D10" r:id="rId18" xr:uid="{00000000-0004-0000-0400-000011000000}"/>
    <hyperlink ref="C11" r:id="rId19" xr:uid="{00000000-0004-0000-0400-000012000000}"/>
    <hyperlink ref="D11" r:id="rId20" xr:uid="{00000000-0004-0000-0400-000013000000}"/>
    <hyperlink ref="C12" r:id="rId21" xr:uid="{00000000-0004-0000-0400-000014000000}"/>
    <hyperlink ref="D12" r:id="rId22" xr:uid="{00000000-0004-0000-0400-000015000000}"/>
    <hyperlink ref="C13" r:id="rId23" xr:uid="{00000000-0004-0000-0400-000016000000}"/>
    <hyperlink ref="D13" r:id="rId24" xr:uid="{00000000-0004-0000-0400-000017000000}"/>
    <hyperlink ref="C14" r:id="rId25" xr:uid="{00000000-0004-0000-0400-000018000000}"/>
    <hyperlink ref="D14" r:id="rId26" xr:uid="{00000000-0004-0000-0400-000019000000}"/>
    <hyperlink ref="C15" r:id="rId27" xr:uid="{00000000-0004-0000-0400-00001A000000}"/>
    <hyperlink ref="C16" r:id="rId28" xr:uid="{00000000-0004-0000-0400-00001B000000}"/>
    <hyperlink ref="C17" r:id="rId29" xr:uid="{00000000-0004-0000-0400-00001C000000}"/>
    <hyperlink ref="D17" r:id="rId30" xr:uid="{00000000-0004-0000-0400-00001D000000}"/>
    <hyperlink ref="C18" r:id="rId31" xr:uid="{00000000-0004-0000-0400-00001E000000}"/>
    <hyperlink ref="C19" r:id="rId32" xr:uid="{00000000-0004-0000-0400-00001F000000}"/>
    <hyperlink ref="D19" r:id="rId33" xr:uid="{00000000-0004-0000-0400-000020000000}"/>
    <hyperlink ref="D20" r:id="rId34" xr:uid="{00000000-0004-0000-0400-000021000000}"/>
    <hyperlink ref="C20" r:id="rId35" xr:uid="{00000000-0004-0000-0400-000022000000}"/>
    <hyperlink ref="C21" r:id="rId36" xr:uid="{00000000-0004-0000-0400-000023000000}"/>
    <hyperlink ref="D21" r:id="rId37" xr:uid="{00000000-0004-0000-0400-000024000000}"/>
    <hyperlink ref="C22" r:id="rId38" xr:uid="{00000000-0004-0000-0400-000025000000}"/>
    <hyperlink ref="D22" r:id="rId39" xr:uid="{00000000-0004-0000-0400-000026000000}"/>
    <hyperlink ref="D23" r:id="rId40" xr:uid="{00000000-0004-0000-0400-000027000000}"/>
    <hyperlink ref="C23" r:id="rId41" xr:uid="{00000000-0004-0000-0400-000028000000}"/>
    <hyperlink ref="C24" r:id="rId42" xr:uid="{00000000-0004-0000-0400-000029000000}"/>
    <hyperlink ref="D24" r:id="rId43" xr:uid="{00000000-0004-0000-0400-00002A000000}"/>
    <hyperlink ref="D31" r:id="rId44" xr:uid="{00000000-0004-0000-0400-00002B000000}"/>
    <hyperlink ref="C31" r:id="rId45" xr:uid="{00000000-0004-0000-0400-00002C000000}"/>
    <hyperlink ref="C25" r:id="rId46" xr:uid="{00000000-0004-0000-0400-00002D000000}"/>
    <hyperlink ref="D25" r:id="rId47" xr:uid="{00000000-0004-0000-0400-00002E000000}"/>
    <hyperlink ref="C26" r:id="rId48" xr:uid="{00000000-0004-0000-0400-00002F000000}"/>
    <hyperlink ref="D26" r:id="rId49" xr:uid="{00000000-0004-0000-0400-000030000000}"/>
    <hyperlink ref="C32" r:id="rId50" xr:uid="{00000000-0004-0000-0400-000031000000}"/>
    <hyperlink ref="D32" r:id="rId51" xr:uid="{00000000-0004-0000-0400-000032000000}"/>
    <hyperlink ref="D33" r:id="rId52" xr:uid="{00000000-0004-0000-0400-000033000000}"/>
    <hyperlink ref="C33" r:id="rId53" xr:uid="{00000000-0004-0000-0400-000034000000}"/>
    <hyperlink ref="C27" r:id="rId54" xr:uid="{00000000-0004-0000-0400-000035000000}"/>
    <hyperlink ref="D27" r:id="rId55" xr:uid="{00000000-0004-0000-0400-000036000000}"/>
    <hyperlink ref="C28" r:id="rId56" xr:uid="{00000000-0004-0000-0400-000037000000}"/>
    <hyperlink ref="D28" r:id="rId57" xr:uid="{00000000-0004-0000-0400-000038000000}"/>
    <hyperlink ref="C29" r:id="rId58" xr:uid="{00000000-0004-0000-0400-000039000000}"/>
    <hyperlink ref="D29" r:id="rId59" xr:uid="{00000000-0004-0000-0400-00003A000000}"/>
    <hyperlink ref="C34" r:id="rId60" xr:uid="{00000000-0004-0000-0400-00003B000000}"/>
    <hyperlink ref="D34" r:id="rId61" xr:uid="{00000000-0004-0000-0400-00003C000000}"/>
    <hyperlink ref="D35" r:id="rId62" xr:uid="{00000000-0004-0000-0400-00003D000000}"/>
    <hyperlink ref="C35" r:id="rId63" xr:uid="{00000000-0004-0000-0400-00003E000000}"/>
    <hyperlink ref="C36" r:id="rId64" xr:uid="{00000000-0004-0000-0400-00003F000000}"/>
    <hyperlink ref="D36" r:id="rId65" xr:uid="{00000000-0004-0000-0400-000040000000}"/>
    <hyperlink ref="D37" r:id="rId66" xr:uid="{814559AB-90D6-4407-9A63-447B71F7D3F5}"/>
    <hyperlink ref="C37" r:id="rId67" xr:uid="{9CB31E9C-4B19-418D-8207-A7C6A2D214FE}"/>
    <hyperlink ref="C38" r:id="rId68" xr:uid="{71E4239E-8EC8-447F-8997-2698964BC16B}"/>
    <hyperlink ref="D38" r:id="rId69" xr:uid="{B6BCAA2F-C442-40F4-B33C-CE18B3CC69B9}"/>
    <hyperlink ref="D39" r:id="rId70" xr:uid="{C19CAC3E-3CF3-4020-9BE0-035F64F0E91E}"/>
    <hyperlink ref="C39" r:id="rId71" xr:uid="{A75C1C32-D094-44FE-8BAE-57ED6CCBE1CD}"/>
    <hyperlink ref="C40" r:id="rId72" xr:uid="{33AB1DF2-62D7-4D95-B4BF-149A6989220B}"/>
    <hyperlink ref="C41" r:id="rId73" xr:uid="{BB6E9745-49D2-41EF-B125-03F9D7822DCF}"/>
    <hyperlink ref="D40" r:id="rId74" xr:uid="{36B8B585-67DF-42C7-B4F8-8915E4EF3EA4}"/>
    <hyperlink ref="D41" r:id="rId75" xr:uid="{43983FC0-80ED-41E8-9B5D-5C2AFCBDEA5F}"/>
    <hyperlink ref="C42" r:id="rId76" xr:uid="{564F0CA4-B757-482D-8B90-EB7B13ADCAE8}"/>
    <hyperlink ref="D42" r:id="rId77" xr:uid="{5B7D12BB-3D8D-412E-9CE2-53B323A4B2C8}"/>
    <hyperlink ref="D43" r:id="rId78" xr:uid="{5AD91EAA-C103-42E2-A5F8-6F055D3E96D8}"/>
    <hyperlink ref="C43" r:id="rId79" xr:uid="{444A76FA-7553-4B0E-A3C9-2A8DB62E504D}"/>
    <hyperlink ref="C44" r:id="rId80" xr:uid="{28D54E71-7374-4783-8E10-A7BEA912994F}"/>
    <hyperlink ref="D44" r:id="rId81" xr:uid="{91A28F00-F4C4-49AB-9B5D-85DEE6212700}"/>
    <hyperlink ref="C45" r:id="rId82" xr:uid="{8171560D-5557-40DE-85EA-B07D3B21BB4A}"/>
    <hyperlink ref="D45" r:id="rId83" xr:uid="{AECA8763-F72D-46BD-AAB8-1ED3FB553687}"/>
    <hyperlink ref="C46" r:id="rId84" xr:uid="{6782BEFE-52F4-4BED-8056-878DA81C1EFE}"/>
    <hyperlink ref="D46" r:id="rId85" xr:uid="{B310D8E5-FAC0-48D8-A0BF-E640BB80D337}"/>
    <hyperlink ref="C47" r:id="rId86" xr:uid="{102C16B3-3BF9-4B8D-9B5A-53D44EE2ADB0}"/>
    <hyperlink ref="D47" r:id="rId87" xr:uid="{D13AFC51-FCD1-4C1E-A3F6-05B7856912CF}"/>
    <hyperlink ref="C48" r:id="rId88" xr:uid="{413ECCC6-836A-4726-96AD-411A0C62496C}"/>
    <hyperlink ref="D48" r:id="rId89" xr:uid="{F6C811F8-FA68-413B-8376-044FC3184BBF}"/>
    <hyperlink ref="C49" r:id="rId90" xr:uid="{0842025A-EF03-47CB-9D0D-CACCAF425FF3}"/>
    <hyperlink ref="D49" r:id="rId91" xr:uid="{06F18BEB-F34A-4423-9843-861852258640}"/>
    <hyperlink ref="D50" r:id="rId92" xr:uid="{F748E840-EF76-4A13-B7BB-8ADE18CAEFC2}"/>
    <hyperlink ref="C50" r:id="rId93" xr:uid="{AAE2FAE1-C8C9-4122-A78E-758C8482050C}"/>
    <hyperlink ref="C51" r:id="rId94" xr:uid="{E2D57091-66ED-410D-98A6-8BAF6D32528E}"/>
    <hyperlink ref="D51" r:id="rId95" xr:uid="{29EF9F7B-7CE1-4FB7-BFC9-26E13408808E}"/>
    <hyperlink ref="C52" r:id="rId96" xr:uid="{F08AE79B-356C-4B51-B9BC-464D0755CAD6}"/>
    <hyperlink ref="D52" r:id="rId97" xr:uid="{BA4F28A2-301E-4429-B81D-358DB9308F7D}"/>
    <hyperlink ref="C53" r:id="rId98" xr:uid="{1E2D93D2-5F77-4256-90C9-BA5C4C06A04A}"/>
    <hyperlink ref="D53" r:id="rId99" xr:uid="{D6ADF23F-CA03-4752-8C47-39EAA8D62B03}"/>
    <hyperlink ref="D54" r:id="rId100" xr:uid="{754B50BE-9ACD-4197-A75E-DFA020847714}"/>
    <hyperlink ref="C54" r:id="rId101" xr:uid="{3EA71871-3D3F-4DFD-ABE1-11958EE59D6A}"/>
    <hyperlink ref="C55" r:id="rId102" xr:uid="{0AE3667B-77FF-4240-87DE-CB0AAF7BC1FA}"/>
    <hyperlink ref="D55" r:id="rId103" xr:uid="{5A2615B2-557C-4DE0-ABCB-1E34711A010D}"/>
    <hyperlink ref="C56" r:id="rId104" xr:uid="{D8965DF8-E82F-44AD-A27E-8895EC026A65}"/>
    <hyperlink ref="D56" r:id="rId105" xr:uid="{6095EFB3-692D-4669-808E-536BA1E750AB}"/>
    <hyperlink ref="D57" r:id="rId106" xr:uid="{7980FCA7-5AF7-4113-8EF2-C64013C787FE}"/>
    <hyperlink ref="C57" r:id="rId107" xr:uid="{3DAC5F65-A8C9-4EB6-96B0-23662AB5671D}"/>
    <hyperlink ref="D58" r:id="rId108" xr:uid="{BFF641BE-38CB-4D26-AF35-94F9102C45ED}"/>
    <hyperlink ref="C58" r:id="rId109" xr:uid="{03CFEA10-CFB0-44A8-A1DA-713966A7660C}"/>
    <hyperlink ref="C59" r:id="rId110" xr:uid="{D6A7C163-68FC-477C-9B74-0605367750F7}"/>
    <hyperlink ref="D59" r:id="rId111" xr:uid="{078DE03F-11A4-4710-80A0-C10038E2ABDD}"/>
    <hyperlink ref="C60" r:id="rId112" xr:uid="{5C889907-5FD9-4B05-A7CF-EF14865DAF65}"/>
    <hyperlink ref="D60" r:id="rId113" xr:uid="{8E0C178B-003E-47FE-A6F5-055AEB653346}"/>
    <hyperlink ref="C61" r:id="rId114" xr:uid="{3B558016-8DDD-4859-A5BA-CC73103F8FD2}"/>
    <hyperlink ref="D61" r:id="rId115" xr:uid="{A1DDED79-B170-4399-A572-124D8FFC89C9}"/>
    <hyperlink ref="C62" r:id="rId116" xr:uid="{125D7192-4E2A-477F-A8B0-56E9F46982AF}"/>
    <hyperlink ref="D62" r:id="rId117" xr:uid="{E4EA0B32-0A8F-431B-AB87-D5165FD6740C}"/>
    <hyperlink ref="C63" r:id="rId118" xr:uid="{6CAE252D-4FD2-42CC-9FB7-BF3DE9F009BA}"/>
    <hyperlink ref="D63" r:id="rId119" xr:uid="{F9FBAC2C-D70B-4E75-8B48-D6F057D905F4}"/>
    <hyperlink ref="C64" r:id="rId120" xr:uid="{76A7E272-6EA0-4410-8060-C921C0B72847}"/>
    <hyperlink ref="D64" r:id="rId121" xr:uid="{9754B9E2-5FCD-4E94-B3C4-AAFCF930D26C}"/>
    <hyperlink ref="C65" r:id="rId122" xr:uid="{7CCB0A57-536D-474B-AECE-28C94063DCEC}"/>
    <hyperlink ref="D65" r:id="rId123" xr:uid="{6BC80B74-FC87-47B1-832A-8B7C1F91EC26}"/>
    <hyperlink ref="C66" r:id="rId124" xr:uid="{5CBEDEF0-B6B6-4E1B-BDD6-439CD45A629C}"/>
    <hyperlink ref="D66" r:id="rId125" xr:uid="{A37190F7-9D71-48E0-8370-9C4CCB5D60C2}"/>
    <hyperlink ref="C67" r:id="rId126" xr:uid="{86BD93C1-03EC-4243-8FE1-9F5E0E0E33CF}"/>
    <hyperlink ref="D67" r:id="rId127" xr:uid="{7E763A27-9FA5-4283-84FF-CCCFD6E91E3A}"/>
    <hyperlink ref="C68" r:id="rId128" xr:uid="{063ACEDC-0BF1-467B-93D3-F3F4BCB1FA47}"/>
    <hyperlink ref="D68" r:id="rId129" xr:uid="{EF850FDD-0781-4232-B4C7-42899A107D39}"/>
    <hyperlink ref="C69" r:id="rId130" xr:uid="{8DA9C2EE-9FA9-4959-A9AE-E00D04D0949C}"/>
    <hyperlink ref="D69" r:id="rId131" xr:uid="{B0BE79E0-DA9B-4161-8835-2F20D2597F2C}"/>
    <hyperlink ref="C70" r:id="rId132" xr:uid="{976AE2F5-128B-429D-ACBE-674EA26D0A75}"/>
    <hyperlink ref="D70" r:id="rId133" xr:uid="{F4E98569-6928-46E5-AF89-AA2D73559F5A}"/>
    <hyperlink ref="C71" r:id="rId134" xr:uid="{C745C07D-756F-471D-9FE7-4E619AC53A52}"/>
    <hyperlink ref="D71" r:id="rId135" xr:uid="{307CA646-4695-42B5-B6F8-C59F0D18F4BB}"/>
    <hyperlink ref="D72" r:id="rId136" xr:uid="{47A6F8EC-886D-47BE-9D59-848F48874ACB}"/>
    <hyperlink ref="C72" r:id="rId137" xr:uid="{4E664066-55C9-4C5A-A111-D32D6EBE66DF}"/>
    <hyperlink ref="C73" r:id="rId138" xr:uid="{99B007CA-4E62-4004-A99B-546D97EF47C0}"/>
    <hyperlink ref="D73" r:id="rId139" xr:uid="{CFE7F614-D007-4519-B042-5C1AA797FE35}"/>
    <hyperlink ref="C74" r:id="rId140" xr:uid="{6003DA75-5E42-4AE7-87E5-92BF062EB46C}"/>
  </hyperlinks>
  <pageMargins left="0.7" right="0.7" top="0.75" bottom="0.75" header="0.3" footer="0.3"/>
  <pageSetup paperSize="9" orientation="portrait" r:id="rId1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papers</vt:lpstr>
      <vt:lpstr>chapters</vt:lpstr>
      <vt:lpstr>submitted</vt:lpstr>
      <vt:lpstr>zzz</vt:lpstr>
      <vt:lpstr>SCI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2026-05-17T15:57:44Z</dcterms:modified>
</cp:coreProperties>
</file>